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 tabRatio="500"/>
  </bookViews>
  <sheets>
    <sheet name="Fig.1b" sheetId="10" r:id="rId1"/>
    <sheet name="Fig.1c" sheetId="1" r:id="rId2"/>
    <sheet name="Fig.1d" sheetId="8" r:id="rId3"/>
    <sheet name="Fig.2a" sheetId="7" r:id="rId4"/>
    <sheet name="Fig.2b" sheetId="4" r:id="rId5"/>
    <sheet name="Fig.2c" sheetId="5" r:id="rId6"/>
    <sheet name="Fig.2d" sheetId="6" r:id="rId7"/>
    <sheet name="Fig.3d" sheetId="9" r:id="rId8"/>
    <sheet name="Fig.3e" sheetId="13" r:id="rId9"/>
    <sheet name="Fig.3f" sheetId="12" r:id="rId10"/>
    <sheet name="Fig.3g" sheetId="14" r:id="rId11"/>
    <sheet name="Fig.3h" sheetId="26" r:id="rId12"/>
    <sheet name="Fig.4a" sheetId="15" r:id="rId13"/>
    <sheet name="Fig.4b" sheetId="16" r:id="rId14"/>
    <sheet name="Fig.4c" sheetId="17" r:id="rId15"/>
    <sheet name="Fig.4d" sheetId="25" r:id="rId16"/>
    <sheet name="Fig.4h" sheetId="18" r:id="rId17"/>
    <sheet name="Fig.6a" sheetId="24" r:id="rId18"/>
    <sheet name="Fig.6b" sheetId="20" r:id="rId19"/>
    <sheet name="Fig.6c" sheetId="21" r:id="rId20"/>
    <sheet name="Fig.6d" sheetId="22" r:id="rId21"/>
    <sheet name="Fig. 6e" sheetId="1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<sst xmlns="http://schemas.openxmlformats.org/spreadsheetml/2006/main" count="1113" uniqueCount="498">
  <si>
    <t>Taxon_name</t>
  </si>
  <si>
    <t>Day40</t>
  </si>
  <si>
    <t>Day80</t>
  </si>
  <si>
    <t>Day150</t>
  </si>
  <si>
    <t>Day220</t>
  </si>
  <si>
    <t>Day300</t>
  </si>
  <si>
    <t>Day400</t>
  </si>
  <si>
    <t>Chlorophyta</t>
  </si>
  <si>
    <t>Cyanobacteria</t>
  </si>
  <si>
    <t>Proteobacteria</t>
  </si>
  <si>
    <t>Bacteroidetes</t>
  </si>
  <si>
    <t>Chloroflexi</t>
  </si>
  <si>
    <t>Actinobacteria</t>
  </si>
  <si>
    <t>Nitrospirae</t>
  </si>
  <si>
    <t>Firmicutes</t>
  </si>
  <si>
    <t>Planctomycetes</t>
  </si>
  <si>
    <t>Acidobacteria</t>
  </si>
  <si>
    <t>Time (Day)</t>
  </si>
  <si>
    <r>
      <rPr>
        <b/>
        <sz val="12"/>
        <color theme="1"/>
        <rFont val="DengXian"/>
        <charset val="134"/>
        <scheme val="minor"/>
      </rPr>
      <t>NRR (mg N l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 xml:space="preserve"> day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>)</t>
    </r>
  </si>
  <si>
    <r>
      <rPr>
        <b/>
        <sz val="12"/>
        <color theme="1"/>
        <rFont val="DengXian"/>
        <charset val="134"/>
        <scheme val="minor"/>
      </rPr>
      <t>NLR (mg N l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 xml:space="preserve"> day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>)</t>
    </r>
  </si>
  <si>
    <t>Nitrogen Removal efficiency (%)</t>
  </si>
  <si>
    <t>Time(h)</t>
  </si>
  <si>
    <r>
      <rPr>
        <b/>
        <sz val="12"/>
        <color theme="1"/>
        <rFont val="DengXian"/>
        <charset val="134"/>
        <scheme val="minor"/>
      </rPr>
      <t>NH</t>
    </r>
    <r>
      <rPr>
        <b/>
        <vertAlign val="subscript"/>
        <sz val="12"/>
        <color theme="1"/>
        <rFont val="DengXian"/>
        <charset val="134"/>
        <scheme val="minor"/>
      </rPr>
      <t>4</t>
    </r>
    <r>
      <rPr>
        <b/>
        <vertAlign val="superscript"/>
        <sz val="12"/>
        <color theme="1"/>
        <rFont val="DengXian"/>
        <charset val="134"/>
        <scheme val="minor"/>
      </rPr>
      <t>+</t>
    </r>
    <r>
      <rPr>
        <b/>
        <sz val="12"/>
        <color theme="1"/>
        <rFont val="DengXian"/>
        <charset val="134"/>
        <scheme val="minor"/>
      </rPr>
      <t xml:space="preserve"> (mM)</t>
    </r>
  </si>
  <si>
    <r>
      <rPr>
        <b/>
        <sz val="12"/>
        <color theme="1"/>
        <rFont val="DengXian"/>
        <charset val="134"/>
        <scheme val="minor"/>
      </rPr>
      <t>NO</t>
    </r>
    <r>
      <rPr>
        <b/>
        <vertAlign val="subscript"/>
        <sz val="12"/>
        <color theme="1"/>
        <rFont val="DengXian"/>
        <charset val="134"/>
        <scheme val="minor"/>
      </rPr>
      <t>2</t>
    </r>
    <r>
      <rPr>
        <b/>
        <vertAlign val="superscript"/>
        <sz val="12"/>
        <color theme="1"/>
        <rFont val="DengXian"/>
        <charset val="134"/>
        <scheme val="minor"/>
      </rPr>
      <t>-</t>
    </r>
    <r>
      <rPr>
        <b/>
        <sz val="12"/>
        <color theme="1"/>
        <rFont val="DengXian"/>
        <charset val="134"/>
        <scheme val="minor"/>
      </rPr>
      <t xml:space="preserve"> (mM)</t>
    </r>
  </si>
  <si>
    <r>
      <rPr>
        <b/>
        <sz val="12"/>
        <color theme="1"/>
        <rFont val="DengXian"/>
        <charset val="134"/>
        <scheme val="minor"/>
      </rPr>
      <t>NO</t>
    </r>
    <r>
      <rPr>
        <b/>
        <vertAlign val="subscript"/>
        <sz val="12"/>
        <color theme="1"/>
        <rFont val="DengXian"/>
        <charset val="134"/>
        <scheme val="minor"/>
      </rPr>
      <t>3</t>
    </r>
    <r>
      <rPr>
        <b/>
        <vertAlign val="superscript"/>
        <sz val="12"/>
        <color theme="1"/>
        <rFont val="DengXian"/>
        <charset val="134"/>
        <scheme val="minor"/>
      </rPr>
      <t>-</t>
    </r>
    <r>
      <rPr>
        <b/>
        <sz val="12"/>
        <color theme="1"/>
        <rFont val="DengXian"/>
        <charset val="134"/>
        <scheme val="minor"/>
      </rPr>
      <t xml:space="preserve"> (mM)</t>
    </r>
  </si>
  <si>
    <r>
      <rPr>
        <b/>
        <sz val="12"/>
        <color theme="1"/>
        <rFont val="DengXian"/>
        <charset val="134"/>
        <scheme val="minor"/>
      </rPr>
      <t>DO (mg l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>)</t>
    </r>
  </si>
  <si>
    <t xml:space="preserve">Reads percent of hydrogenase 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</si>
  <si>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</si>
  <si>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</si>
  <si>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</si>
  <si>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</si>
  <si>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</si>
  <si>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</si>
  <si>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</si>
  <si>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</si>
  <si>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</si>
  <si>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NiFe_aerobic_uptake</t>
  </si>
  <si>
    <t>anaerobic_uptake</t>
  </si>
  <si>
    <t>FeFe_evolving</t>
  </si>
  <si>
    <t>NiFe_evolving</t>
  </si>
  <si>
    <t>FeFe_regulatory</t>
  </si>
  <si>
    <t>NiFe_regulatory</t>
  </si>
  <si>
    <t>bidirectional</t>
  </si>
  <si>
    <t>Total</t>
  </si>
  <si>
    <t>R-Value</t>
  </si>
  <si>
    <t>Anaerobic_uptake</t>
  </si>
  <si>
    <t>Bidirectional</t>
  </si>
  <si>
    <t>narG</t>
  </si>
  <si>
    <t>napA</t>
  </si>
  <si>
    <t>nrfH</t>
  </si>
  <si>
    <t>nirS</t>
  </si>
  <si>
    <t>nosZ</t>
  </si>
  <si>
    <t>P-Value</t>
  </si>
  <si>
    <t>Source</t>
  </si>
  <si>
    <t>Target</t>
  </si>
  <si>
    <t>Granular Size</t>
  </si>
  <si>
    <t>NRR</t>
  </si>
  <si>
    <t xml:space="preserve">Sequence </t>
  </si>
  <si>
    <t>Hase_type</t>
  </si>
  <si>
    <t>Phylum</t>
  </si>
  <si>
    <t>RPKM</t>
  </si>
  <si>
    <t>Log10(RPKM+1)</t>
  </si>
  <si>
    <t>C150_bin39_scaffold_701_50</t>
  </si>
  <si>
    <t>NiFeGroup4e</t>
  </si>
  <si>
    <t>p__Verrucomicrobiota</t>
  </si>
  <si>
    <t>C400_bin13_scaffold_111_66</t>
  </si>
  <si>
    <t>NiFeGroup4d</t>
  </si>
  <si>
    <t>p__Chloroflexota</t>
  </si>
  <si>
    <t>C30_bin38_scaffold_4003_2</t>
  </si>
  <si>
    <t>C80_bin3_scaffold_5670_5</t>
  </si>
  <si>
    <t>NiFeGroup3d</t>
  </si>
  <si>
    <t>p__Proteobacteria</t>
  </si>
  <si>
    <t>C400_bin6_scaffold_22172_3</t>
  </si>
  <si>
    <t>C400_bin42_scaffold_1879_11</t>
  </si>
  <si>
    <t>p__Bacteroidota</t>
  </si>
  <si>
    <t>C400_bin39_scaffold_725_38</t>
  </si>
  <si>
    <t>C400_bin30_scaffold_2221_7</t>
  </si>
  <si>
    <t>C400_bin22_scaffold_1952_31</t>
  </si>
  <si>
    <t>C300_bin18_scaffold_140_9</t>
  </si>
  <si>
    <t>p__Cyanobacteria</t>
  </si>
  <si>
    <t>C30_bin62_scaffold_10_58</t>
  </si>
  <si>
    <t>C30_bin51_scaffold_12037_2</t>
  </si>
  <si>
    <t>C30_bin45_scaffold_52057_1</t>
  </si>
  <si>
    <t>C30_bin38_scaffold_8063_5</t>
  </si>
  <si>
    <t>C30_bin29_scaffold_1131_10</t>
  </si>
  <si>
    <t>C30_bin21_scaffold_2746_4</t>
  </si>
  <si>
    <t>C30_bin15_scaffold_2494_7</t>
  </si>
  <si>
    <t>C3_bin18_scaffold_13236_2</t>
  </si>
  <si>
    <t>p__Myxococcota</t>
  </si>
  <si>
    <t>C220_bin40_scaffold_233_10</t>
  </si>
  <si>
    <t>C220_bin32_scaffold_2428_10</t>
  </si>
  <si>
    <t>C220_bin3_scaffold_2637_11</t>
  </si>
  <si>
    <t>C220_bin19_scaffold_9078_3</t>
  </si>
  <si>
    <t>C2_bin20_scaffold_13_206</t>
  </si>
  <si>
    <t>C150_bin44_scaffold_3712_8</t>
  </si>
  <si>
    <t>C150_bin39_scaffold_701_57</t>
  </si>
  <si>
    <t>C150_bin36_scaffold_2579_3</t>
  </si>
  <si>
    <t>C150_bin12_scaffold_9321_7</t>
  </si>
  <si>
    <t>C1_bin52_scaffold_1474_15</t>
  </si>
  <si>
    <t>C1_bin35_scaffold_3413_4</t>
  </si>
  <si>
    <t>p__Acidobacteriota</t>
  </si>
  <si>
    <t>C1_bin24_scaffold_2224_8</t>
  </si>
  <si>
    <t>C1_bin20_scaffold_3359_4</t>
  </si>
  <si>
    <t>C400_bin13_scaffold_279_64</t>
  </si>
  <si>
    <t>NiFeGroup3c</t>
  </si>
  <si>
    <t>C150_bin44_scaffold_1533_20</t>
  </si>
  <si>
    <t>C150_bin33_scaffold_951_19</t>
  </si>
  <si>
    <t>p__Armatimonadota</t>
  </si>
  <si>
    <t>C1_bin35_scaffold_4897_4</t>
  </si>
  <si>
    <t>NiFeGroup2d</t>
  </si>
  <si>
    <t>C2_bin20_scaffold_13_108</t>
  </si>
  <si>
    <t>NiFeGroup2c</t>
  </si>
  <si>
    <t>C400_bin6_scaffold_27791_1</t>
  </si>
  <si>
    <t>NiFeGroup2b</t>
  </si>
  <si>
    <t>C400_bin39_scaffold_3373_17</t>
  </si>
  <si>
    <t>C30_bin21_scaffold_12293_7</t>
  </si>
  <si>
    <t>C220_bin19_scaffold_12878_1</t>
  </si>
  <si>
    <t>C2_bin20_scaffold_1_215</t>
  </si>
  <si>
    <t>C300_bin40_scaffold_311_18</t>
  </si>
  <si>
    <t>NiFeGroup2a</t>
  </si>
  <si>
    <t>C3_bin58_scaffold_261_28</t>
  </si>
  <si>
    <t>C220_bin11_scaffold_0_351</t>
  </si>
  <si>
    <t>C150_bin44_scaffold_1081_16</t>
  </si>
  <si>
    <t>C1_bin52_scaffold_413_7</t>
  </si>
  <si>
    <t>C220_bin11_scaffold_0_364</t>
  </si>
  <si>
    <t>NiFeGroup1h/5</t>
  </si>
  <si>
    <t>C400_bin20_scaffold_2437_4</t>
  </si>
  <si>
    <t>NiFeGroup1f</t>
  </si>
  <si>
    <t>p__Gemmatimonadota</t>
  </si>
  <si>
    <t>C400_bin57_scaffold_217_98</t>
  </si>
  <si>
    <t>NiFeGroup1d</t>
  </si>
  <si>
    <t>C400_bin39_scaffold_17160_2</t>
  </si>
  <si>
    <t>C300_bin47_scaffold_5075_2</t>
  </si>
  <si>
    <t>C300_bin40_scaffold_461_14</t>
  </si>
  <si>
    <t>C300_bin36_scaffold_34_159</t>
  </si>
  <si>
    <t>C300_bin36_scaffold_29_96</t>
  </si>
  <si>
    <t>C30_bin51_scaffold_10176_2</t>
  </si>
  <si>
    <t>C30_bin50_scaffold_85098_1</t>
  </si>
  <si>
    <t>C30_bin29_scaffold_8726_5</t>
  </si>
  <si>
    <t>C30_bin21_scaffold_4584_10</t>
  </si>
  <si>
    <t>C30_bin20_scaffold_275_20</t>
  </si>
  <si>
    <t>C220_bin11_scaffold_19_67</t>
  </si>
  <si>
    <t>C2_bin20_scaffold_1_193</t>
  </si>
  <si>
    <t>C150_bin52_scaffold_3041_1</t>
  </si>
  <si>
    <t>C150_bin36_scaffold_245_30</t>
  </si>
  <si>
    <t>C150_bin18_scaffold_16458_2</t>
  </si>
  <si>
    <t>C30_bin51_scaffold_54278_2</t>
  </si>
  <si>
    <t>NiFeGroup1c</t>
  </si>
  <si>
    <t>MAG_Name</t>
  </si>
  <si>
    <t>fefe</t>
  </si>
  <si>
    <t>nife-group-1</t>
  </si>
  <si>
    <t>nife-group-2ade</t>
  </si>
  <si>
    <t>nife-group-2bc</t>
  </si>
  <si>
    <t>nife-group-3abd</t>
  </si>
  <si>
    <t>nife-group-3c</t>
  </si>
  <si>
    <t>nife-group-4a-g</t>
  </si>
  <si>
    <t>nifH</t>
  </si>
  <si>
    <t>amoA</t>
  </si>
  <si>
    <t>nxrA</t>
  </si>
  <si>
    <t>nxrB</t>
  </si>
  <si>
    <t>napB</t>
  </si>
  <si>
    <t>narH</t>
  </si>
  <si>
    <t>nrfA</t>
  </si>
  <si>
    <t>nirB</t>
  </si>
  <si>
    <t>nirD</t>
  </si>
  <si>
    <t>nirK</t>
  </si>
  <si>
    <t>ccoN</t>
  </si>
  <si>
    <t>cydA</t>
  </si>
  <si>
    <t>cyoA</t>
  </si>
  <si>
    <t>coxA</t>
  </si>
  <si>
    <t>VER2 (CAIVKH01)</t>
  </si>
  <si>
    <t>VER1 (V1-33)</t>
  </si>
  <si>
    <t>SPR1 (Turneriellaceae)</t>
  </si>
  <si>
    <t>PRO9 (Nitrosomonadaceae)</t>
  </si>
  <si>
    <t>PRO8 (Rhodocyclaceae)</t>
  </si>
  <si>
    <t>PRO7 (Rhodocyclaceae)</t>
  </si>
  <si>
    <t>PRO6 (Rhodocyclaceae)</t>
  </si>
  <si>
    <t>PRO5 (SG8-39)</t>
  </si>
  <si>
    <t>PRO4 (GCA-2729495)</t>
  </si>
  <si>
    <t>PRO3 (Nitrosomonadaceae)</t>
  </si>
  <si>
    <t>PRO17 (Rhodobacteraceae)</t>
  </si>
  <si>
    <t>PRO16 (Burkholderiaceae)</t>
  </si>
  <si>
    <t>PRO15 (Burkholderiaceae)</t>
  </si>
  <si>
    <t>PRO14 (Burkholderiaceae)</t>
  </si>
  <si>
    <t>PRO13 (Burkholderiaceae)</t>
  </si>
  <si>
    <t>PRO12 (Casimicrobiaceae)</t>
  </si>
  <si>
    <t>PRO11 (Gallionellaceae)</t>
  </si>
  <si>
    <t>PRO1 (Xanthomonadaceae)</t>
  </si>
  <si>
    <t>NOB2 (Nitrospiraceae)</t>
  </si>
  <si>
    <t>NOB1 (Nitrospiraceae)</t>
  </si>
  <si>
    <t>MYX1 (UBA9160)</t>
  </si>
  <si>
    <t>GEM1 (GWC2-71-9)</t>
  </si>
  <si>
    <t>CYN3 (Elainellaceae)</t>
  </si>
  <si>
    <t>CYN2 (Leptolyngbyaceae)</t>
  </si>
  <si>
    <t>CYN1 (Phormidesmiaceae)</t>
  </si>
  <si>
    <t>CFX7 (Phototrophicaceae)</t>
  </si>
  <si>
    <t>CFX6 (Phototrophicaceae)</t>
  </si>
  <si>
    <t>CFX4 (EnvOPS12)</t>
  </si>
  <si>
    <t>CFX3 (J036)</t>
  </si>
  <si>
    <t>CFX1 (Chloroflexaceae)</t>
  </si>
  <si>
    <t>BCD9 (Saprospiraceae)</t>
  </si>
  <si>
    <t>BCD8 (UBA2359)</t>
  </si>
  <si>
    <t>BCD7 (UBA2359)</t>
  </si>
  <si>
    <t>BCD6 (Cyclobacteriaceae)</t>
  </si>
  <si>
    <t>BCD3 (PHOS-HE28)</t>
  </si>
  <si>
    <t>BCD14 (Chitinophagaceae)</t>
  </si>
  <si>
    <t>BCD11 (Saprospiraceae)</t>
  </si>
  <si>
    <t>BCD10 (Saprospiraceae)</t>
  </si>
  <si>
    <t>ATM1 (Ilumatobacteraceae)</t>
  </si>
  <si>
    <t>ACD4 (Pyrinomonadaceae)</t>
  </si>
  <si>
    <t>ACD3 (RBC074)</t>
  </si>
  <si>
    <t>ACD2 (Acanthopleuribacteraceae)</t>
  </si>
  <si>
    <r>
      <rPr>
        <b/>
        <sz val="12"/>
        <color theme="1"/>
        <rFont val="DengXian"/>
        <charset val="134"/>
        <scheme val="minor"/>
      </rPr>
      <t>H</t>
    </r>
    <r>
      <rPr>
        <b/>
        <vertAlign val="subscript"/>
        <sz val="12"/>
        <color theme="1"/>
        <rFont val="DengXian"/>
        <charset val="134"/>
        <scheme val="minor"/>
      </rPr>
      <t>2</t>
    </r>
    <r>
      <rPr>
        <b/>
        <sz val="12"/>
        <color theme="1"/>
        <rFont val="DengXian"/>
        <charset val="134"/>
        <scheme val="minor"/>
      </rPr>
      <t xml:space="preserve"> Concentration (μM) with NH</t>
    </r>
    <r>
      <rPr>
        <b/>
        <vertAlign val="subscript"/>
        <sz val="12"/>
        <color theme="1"/>
        <rFont val="DengXian"/>
        <charset val="134"/>
        <scheme val="minor"/>
      </rPr>
      <t>4</t>
    </r>
    <r>
      <rPr>
        <b/>
        <vertAlign val="superscript"/>
        <sz val="12"/>
        <color theme="1"/>
        <rFont val="DengXian"/>
        <charset val="134"/>
        <scheme val="minor"/>
      </rPr>
      <t>+</t>
    </r>
  </si>
  <si>
    <t>Time (h)</t>
  </si>
  <si>
    <t>Rep1</t>
  </si>
  <si>
    <t>Rep2</t>
  </si>
  <si>
    <t>Rep3</t>
  </si>
  <si>
    <t>Rep4</t>
  </si>
  <si>
    <t>Rep5</t>
  </si>
  <si>
    <r>
      <rPr>
        <b/>
        <sz val="12"/>
        <color theme="1"/>
        <rFont val="DengXian"/>
        <charset val="134"/>
        <scheme val="minor"/>
      </rPr>
      <t>H</t>
    </r>
    <r>
      <rPr>
        <b/>
        <vertAlign val="subscript"/>
        <sz val="12"/>
        <color theme="1"/>
        <rFont val="DengXian"/>
        <charset val="134"/>
        <scheme val="minor"/>
      </rPr>
      <t>2</t>
    </r>
    <r>
      <rPr>
        <b/>
        <sz val="12"/>
        <color theme="1"/>
        <rFont val="DengXian"/>
        <charset val="134"/>
        <scheme val="minor"/>
      </rPr>
      <t xml:space="preserve"> Concentration (μM) with NO</t>
    </r>
    <r>
      <rPr>
        <b/>
        <vertAlign val="subscript"/>
        <sz val="12"/>
        <color theme="1"/>
        <rFont val="DengXian"/>
        <charset val="134"/>
        <scheme val="minor"/>
      </rPr>
      <t>3</t>
    </r>
    <r>
      <rPr>
        <b/>
        <vertAlign val="superscript"/>
        <sz val="12"/>
        <color theme="1"/>
        <rFont val="DengXian"/>
        <charset val="134"/>
        <scheme val="minor"/>
      </rPr>
      <t>-</t>
    </r>
  </si>
  <si>
    <t>Depth (μm)</t>
  </si>
  <si>
    <r>
      <rPr>
        <b/>
        <sz val="12"/>
        <color theme="1"/>
        <rFont val="DengXian"/>
        <charset val="134"/>
        <scheme val="minor"/>
      </rPr>
      <t>H</t>
    </r>
    <r>
      <rPr>
        <b/>
        <vertAlign val="subscript"/>
        <sz val="12"/>
        <color theme="1"/>
        <rFont val="DengXian"/>
        <charset val="134"/>
        <scheme val="minor"/>
      </rPr>
      <t>2</t>
    </r>
    <r>
      <rPr>
        <b/>
        <sz val="12"/>
        <color theme="1"/>
        <rFont val="DengXian"/>
        <charset val="134"/>
        <scheme val="minor"/>
      </rPr>
      <t xml:space="preserve"> (μM)</t>
    </r>
  </si>
  <si>
    <r>
      <rPr>
        <b/>
        <sz val="12"/>
        <color theme="1"/>
        <rFont val="DengXian"/>
        <charset val="134"/>
        <scheme val="minor"/>
      </rPr>
      <t>O</t>
    </r>
    <r>
      <rPr>
        <b/>
        <vertAlign val="subscript"/>
        <sz val="12"/>
        <color theme="1"/>
        <rFont val="DengXian"/>
        <charset val="134"/>
        <scheme val="minor"/>
      </rPr>
      <t>2</t>
    </r>
    <r>
      <rPr>
        <b/>
        <sz val="12"/>
        <color theme="1"/>
        <rFont val="DengXian"/>
        <charset val="134"/>
        <scheme val="minor"/>
      </rPr>
      <t xml:space="preserve"> (μM)</t>
    </r>
  </si>
  <si>
    <t>Depth(μm)</t>
  </si>
  <si>
    <r>
      <rPr>
        <b/>
        <sz val="12"/>
        <color theme="1"/>
        <rFont val="DengXian"/>
        <charset val="134"/>
        <scheme val="minor"/>
      </rPr>
      <t>Production rate (nM mm</t>
    </r>
    <r>
      <rPr>
        <b/>
        <vertAlign val="superscript"/>
        <sz val="12"/>
        <color theme="1"/>
        <rFont val="DengXian"/>
        <charset val="134"/>
        <scheme val="minor"/>
      </rPr>
      <t>-3</t>
    </r>
    <r>
      <rPr>
        <b/>
        <sz val="12"/>
        <color theme="1"/>
        <rFont val="DengXian"/>
        <charset val="134"/>
        <scheme val="minor"/>
      </rPr>
      <t xml:space="preserve"> h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>) under Light</t>
    </r>
  </si>
  <si>
    <r>
      <rPr>
        <b/>
        <sz val="12"/>
        <color theme="1"/>
        <rFont val="DengXian"/>
        <charset val="134"/>
        <scheme val="minor"/>
      </rPr>
      <t xml:space="preserve"> Production rate (nM mm</t>
    </r>
    <r>
      <rPr>
        <b/>
        <vertAlign val="superscript"/>
        <sz val="12"/>
        <color theme="1"/>
        <rFont val="DengXian"/>
        <charset val="134"/>
        <scheme val="minor"/>
      </rPr>
      <t>-3</t>
    </r>
    <r>
      <rPr>
        <b/>
        <sz val="12"/>
        <color theme="1"/>
        <rFont val="DengXian"/>
        <charset val="134"/>
        <scheme val="minor"/>
      </rPr>
      <t xml:space="preserve"> h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>) under dark</t>
    </r>
  </si>
  <si>
    <t>CYN1</t>
  </si>
  <si>
    <t>KO</t>
  </si>
  <si>
    <t>GENE</t>
  </si>
  <si>
    <t>F-REP1</t>
  </si>
  <si>
    <t>F-REP2</t>
  </si>
  <si>
    <t>F-REP3</t>
  </si>
  <si>
    <t>G-REP1</t>
  </si>
  <si>
    <t>G-REP2</t>
  </si>
  <si>
    <t>G-REP3</t>
  </si>
  <si>
    <t>K18007</t>
  </si>
  <si>
    <t>hoxY; NAD-reducing hydrogenase small subunit [EC:1.12.1.2]</t>
  </si>
  <si>
    <t>K05588</t>
  </si>
  <si>
    <t>hoxU; bidirectional [NiFe] hydrogenase diaphorase subunit [EC:7.1.1.2]</t>
  </si>
  <si>
    <t>K00436</t>
  </si>
  <si>
    <t>hoxH; NAD-reducing hydrogenase large subunit [EC:1.12.1.2]</t>
  </si>
  <si>
    <t>K05587</t>
  </si>
  <si>
    <t>hoxF; bidirectional [NiFe] hydrogenase diaphorase subunit [EC:7.1.1.2]</t>
  </si>
  <si>
    <t>K05586</t>
  </si>
  <si>
    <t>hoxE; bidirectional [NiFe] hydrogenase diaphorase subunit [EC:7.1.1.2]</t>
  </si>
  <si>
    <t>CYN2</t>
  </si>
  <si>
    <t>Electron acceptor gene (RPKM)</t>
  </si>
  <si>
    <t>G-rep1</t>
  </si>
  <si>
    <t>G-rep2</t>
  </si>
  <si>
    <t>G-rep3</t>
  </si>
  <si>
    <t>F-rep1</t>
  </si>
  <si>
    <t>F-rep2</t>
  </si>
  <si>
    <t>F-rep3</t>
  </si>
  <si>
    <t>narGH</t>
  </si>
  <si>
    <t>napAB</t>
  </si>
  <si>
    <t>mcrABC</t>
  </si>
  <si>
    <t>phsA</t>
  </si>
  <si>
    <t>aprAB</t>
  </si>
  <si>
    <t>SAT</t>
  </si>
  <si>
    <t>mtrAB</t>
  </si>
  <si>
    <t>ccoNO</t>
  </si>
  <si>
    <t>coxAB</t>
  </si>
  <si>
    <t>cydAB</t>
  </si>
  <si>
    <t>With nitrate</t>
  </si>
  <si>
    <r>
      <rPr>
        <b/>
        <sz val="12"/>
        <color theme="1"/>
        <rFont val="DengXian"/>
        <charset val="134"/>
        <scheme val="minor"/>
      </rPr>
      <t>H</t>
    </r>
    <r>
      <rPr>
        <b/>
        <vertAlign val="subscript"/>
        <sz val="12"/>
        <color theme="1"/>
        <rFont val="DengXian"/>
        <charset val="134"/>
        <scheme val="minor"/>
      </rPr>
      <t xml:space="preserve">2 </t>
    </r>
    <r>
      <rPr>
        <b/>
        <sz val="12"/>
        <color theme="1"/>
        <rFont val="DengXian"/>
        <charset val="134"/>
        <scheme val="minor"/>
      </rPr>
      <t>(%)</t>
    </r>
  </si>
  <si>
    <t>Without nitrate</t>
  </si>
  <si>
    <t>Nitrate concentration (μM)</t>
  </si>
  <si>
    <t>rep1</t>
  </si>
  <si>
    <t>0h</t>
  </si>
  <si>
    <t>3h</t>
  </si>
  <si>
    <t>6h</t>
  </si>
  <si>
    <t>9h</t>
  </si>
  <si>
    <t>12h</t>
  </si>
  <si>
    <t>15h</t>
  </si>
  <si>
    <t>18h</t>
  </si>
  <si>
    <t>rep2</t>
  </si>
  <si>
    <t>rep3</t>
  </si>
  <si>
    <t>Nitrite concentration (μM)</t>
  </si>
  <si>
    <r>
      <rPr>
        <b/>
        <sz val="12"/>
        <color theme="1"/>
        <rFont val="DengXian"/>
        <charset val="134"/>
        <scheme val="minor"/>
      </rPr>
      <t>NO</t>
    </r>
    <r>
      <rPr>
        <b/>
        <vertAlign val="subscript"/>
        <sz val="12"/>
        <color theme="1"/>
        <rFont val="DengXian"/>
        <charset val="134"/>
        <scheme val="minor"/>
      </rPr>
      <t>2</t>
    </r>
    <r>
      <rPr>
        <b/>
        <vertAlign val="superscript"/>
        <sz val="12"/>
        <color theme="1"/>
        <rFont val="DengXian"/>
        <charset val="134"/>
        <scheme val="minor"/>
      </rPr>
      <t>-</t>
    </r>
    <r>
      <rPr>
        <b/>
        <sz val="12"/>
        <color theme="1"/>
        <rFont val="DengXian"/>
        <charset val="134"/>
        <scheme val="minor"/>
      </rPr>
      <t>(μM)</t>
    </r>
  </si>
  <si>
    <r>
      <rPr>
        <b/>
        <sz val="12"/>
        <color theme="1"/>
        <rFont val="DengXian"/>
        <charset val="134"/>
        <scheme val="minor"/>
      </rPr>
      <t>H</t>
    </r>
    <r>
      <rPr>
        <b/>
        <vertAlign val="subscript"/>
        <sz val="12"/>
        <color theme="1"/>
        <rFont val="DengXian"/>
        <charset val="134"/>
        <scheme val="minor"/>
      </rPr>
      <t>2</t>
    </r>
    <r>
      <rPr>
        <b/>
        <sz val="12"/>
        <color theme="1"/>
        <rFont val="DengXian"/>
        <charset val="134"/>
        <scheme val="minor"/>
      </rPr>
      <t xml:space="preserve"> Production rate (nM mm</t>
    </r>
    <r>
      <rPr>
        <b/>
        <vertAlign val="superscript"/>
        <sz val="12"/>
        <color theme="1"/>
        <rFont val="DengXian"/>
        <charset val="134"/>
        <scheme val="minor"/>
      </rPr>
      <t>-3</t>
    </r>
    <r>
      <rPr>
        <b/>
        <sz val="12"/>
        <color theme="1"/>
        <rFont val="DengXian"/>
        <charset val="134"/>
        <scheme val="minor"/>
      </rPr>
      <t xml:space="preserve"> h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>)</t>
    </r>
  </si>
  <si>
    <r>
      <rPr>
        <b/>
        <sz val="12"/>
        <color theme="1"/>
        <rFont val="DengXian"/>
        <charset val="134"/>
        <scheme val="minor"/>
      </rPr>
      <t>Nitrate Production rate (nM mm</t>
    </r>
    <r>
      <rPr>
        <b/>
        <vertAlign val="superscript"/>
        <sz val="12"/>
        <color theme="1"/>
        <rFont val="DengXian"/>
        <charset val="134"/>
        <scheme val="minor"/>
      </rPr>
      <t>-3</t>
    </r>
    <r>
      <rPr>
        <b/>
        <sz val="12"/>
        <color theme="1"/>
        <rFont val="DengXian"/>
        <charset val="134"/>
        <scheme val="minor"/>
      </rPr>
      <t xml:space="preserve"> h</t>
    </r>
    <r>
      <rPr>
        <b/>
        <vertAlign val="superscript"/>
        <sz val="12"/>
        <color theme="1"/>
        <rFont val="DengXian"/>
        <charset val="134"/>
        <scheme val="minor"/>
      </rPr>
      <t>-1</t>
    </r>
    <r>
      <rPr>
        <b/>
        <sz val="12"/>
        <color theme="1"/>
        <rFont val="DengXian"/>
        <charset val="134"/>
        <scheme val="minor"/>
      </rPr>
      <t>)</t>
    </r>
  </si>
  <si>
    <t>CA_type</t>
  </si>
  <si>
    <t>Location</t>
  </si>
  <si>
    <t>Latitude</t>
  </si>
  <si>
    <t>Longitude</t>
  </si>
  <si>
    <t>Engineered system_1</t>
  </si>
  <si>
    <t>China: Beijing, Haidian, Asia</t>
  </si>
  <si>
    <t>Engineered system_10</t>
  </si>
  <si>
    <t>Engineered system_11</t>
  </si>
  <si>
    <t>Engineered system_12</t>
  </si>
  <si>
    <t>Engineered system_13</t>
  </si>
  <si>
    <t>Engineered system_2</t>
  </si>
  <si>
    <t>Engineered system_3</t>
  </si>
  <si>
    <t>Engineered system_4</t>
  </si>
  <si>
    <t>Engineered system_5</t>
  </si>
  <si>
    <t>Engineered system_6</t>
  </si>
  <si>
    <t>Engineered system_7</t>
  </si>
  <si>
    <t>Engineered system_8</t>
  </si>
  <si>
    <t>Engineered system_9</t>
  </si>
  <si>
    <t>Glacier_1</t>
  </si>
  <si>
    <t>Qiyi Glacier,China,Asia</t>
  </si>
  <si>
    <t>Glacier_10</t>
  </si>
  <si>
    <t>Yala Glacier,Nepal,Asia</t>
  </si>
  <si>
    <t>Glacier_11</t>
  </si>
  <si>
    <t>Glacier_12</t>
  </si>
  <si>
    <t>Urumqi No. 1 Glacier,China,Asia</t>
  </si>
  <si>
    <t>Glacier_13</t>
  </si>
  <si>
    <t>Glacier_14</t>
  </si>
  <si>
    <t>Foxfonna Glacier,Svalbard,Europe</t>
  </si>
  <si>
    <t>Glacier_15</t>
  </si>
  <si>
    <t>Austre Br_eggerbreen Glacier,Svalbard,Europe</t>
  </si>
  <si>
    <t>Glacier_16</t>
  </si>
  <si>
    <t>Gulkana Glacier,Alaska,USA</t>
  </si>
  <si>
    <t>Glacier_2</t>
  </si>
  <si>
    <t>Qaanaaq Glacier,Greenland,North America</t>
  </si>
  <si>
    <t>Glacier_3</t>
  </si>
  <si>
    <t>Glacier_4</t>
  </si>
  <si>
    <t>Glacier_5</t>
  </si>
  <si>
    <t>Glacier_6</t>
  </si>
  <si>
    <t>Grigoriev Ice Cap,Kyrgyzstan,Asia</t>
  </si>
  <si>
    <t>Glacier_7</t>
  </si>
  <si>
    <t>Antarctica:King George Island, Warszawa Icefield</t>
  </si>
  <si>
    <t>Glacier_8</t>
  </si>
  <si>
    <t>Glacier_9</t>
  </si>
  <si>
    <t>Hot spring_1</t>
  </si>
  <si>
    <t>Porcelana Hot Spring,Los lagos, Chile</t>
  </si>
  <si>
    <t>Hot spring_10</t>
  </si>
  <si>
    <t>Hot spring_11</t>
  </si>
  <si>
    <t>Hot spring_12</t>
  </si>
  <si>
    <t>Japan: Tokyo Prefecture, Shikinejima Island, Jinata Onsen</t>
  </si>
  <si>
    <t>Hot spring_2</t>
  </si>
  <si>
    <t xml:space="preserve">Atacama,Chile,South America </t>
  </si>
  <si>
    <t>Hot spring_3</t>
  </si>
  <si>
    <t>Hot spring_4</t>
  </si>
  <si>
    <t>British Columbia,Canada,North America</t>
  </si>
  <si>
    <t>Hot spring_5</t>
  </si>
  <si>
    <t>Mushroom, YNP, USA</t>
  </si>
  <si>
    <t>Hot spring_6</t>
  </si>
  <si>
    <t>Chattisgarh,India,Asia</t>
  </si>
  <si>
    <t>Hot spring_7</t>
  </si>
  <si>
    <t>Hot spring_8</t>
  </si>
  <si>
    <t>Hot spring_9</t>
  </si>
  <si>
    <t>Lake_1</t>
  </si>
  <si>
    <t>USA: Ohio, western Lake Erie, NOAA Station WE12</t>
  </si>
  <si>
    <t>Lake_10</t>
  </si>
  <si>
    <t>USA: Ohio, western Lake Erie, NOAA Station WE4</t>
  </si>
  <si>
    <t>Lake_11</t>
  </si>
  <si>
    <t>USA: Ohio, western Lake Erie, NOAA Station WE2</t>
  </si>
  <si>
    <t>Lake_12</t>
  </si>
  <si>
    <t>Lake_13</t>
  </si>
  <si>
    <t>Taihu,China,Asia</t>
  </si>
  <si>
    <t>Lake_2</t>
  </si>
  <si>
    <t>Lake_3</t>
  </si>
  <si>
    <t>Lake_4</t>
  </si>
  <si>
    <t>Lake_5</t>
  </si>
  <si>
    <t>Lake_6</t>
  </si>
  <si>
    <t>Lake_7</t>
  </si>
  <si>
    <t>Lake_8</t>
  </si>
  <si>
    <t>Lake_9</t>
  </si>
  <si>
    <t>Marine_1</t>
  </si>
  <si>
    <t>Atlantic Ocean</t>
  </si>
  <si>
    <t>Marine_2</t>
  </si>
  <si>
    <t>Marine_3</t>
  </si>
  <si>
    <t>Marine_4</t>
  </si>
  <si>
    <t>Israel: Gulf of Aqaba, Asia</t>
  </si>
  <si>
    <t>Marine_5</t>
  </si>
  <si>
    <t>Marine_6</t>
  </si>
  <si>
    <t>Marine_7</t>
  </si>
  <si>
    <t>Pacific Ocean</t>
  </si>
  <si>
    <t>Marine_8</t>
  </si>
  <si>
    <t>Marine_9</t>
  </si>
  <si>
    <t>Seawater-DCM</t>
  </si>
  <si>
    <t>(search radius=5 degree) Marine Ecoregion:Western Mediterranean (MRGID:21896), Marine Ecoregion:Alboran Sea (MRGID:3324)</t>
  </si>
  <si>
    <t>This sample (TARA_A200000159) was collected in the marine biome (ENVO:00000447) during Tara Oceans expedition on date/time=2009-09-23T16:08Z at station TARA_007  from a deep chlorophyll maximum layer (ENVO:xxxxxxxx...</t>
  </si>
  <si>
    <t>This sample (TARA_E500000081) was collected in the marine biome (ENVO:00000447) during Tara Oceans expedition on date/time=2009-11-18T13:50Z at station TARA_023 from a deep chlorophyll maximum layer (ENVO:xxxxxxx...</t>
  </si>
  <si>
    <t>(search radius=5 degrees) Marine Ecoregion:Western Mediterranean (MRGID:21896)</t>
  </si>
  <si>
    <t>(search radius=5 degrees) Marine Province:Marquesas (MRGID:21741), Marine Ecoregion:Marquesas (MRGID:21741)</t>
  </si>
  <si>
    <t>Indian Ocean,Coastal Biome</t>
  </si>
  <si>
    <t>Red Sea,Coastal Biome</t>
  </si>
  <si>
    <t>Indian Ocean,Trades Biome</t>
  </si>
  <si>
    <t>North Pacific Ocean,Trades Biome</t>
  </si>
  <si>
    <t>South Atlantic Ocean,Trades Biome</t>
  </si>
  <si>
    <t>South Atlantic Ocean,Coastal Biome</t>
  </si>
  <si>
    <t>South Pacific Ocean,Trades Biome</t>
  </si>
  <si>
    <t>North Atlantic Ocean,Coastal Biome</t>
  </si>
  <si>
    <t>Mediterranean Sea,Westerlies Biome</t>
  </si>
  <si>
    <t>Seawater-SRF</t>
  </si>
  <si>
    <t>South Pacific Ocean,Coastal Biome</t>
  </si>
  <si>
    <t>Sample</t>
  </si>
  <si>
    <t>Hydrogen-uptake Hydrogenase Percentage</t>
  </si>
  <si>
    <t>WW1</t>
  </si>
  <si>
    <t>WW2</t>
  </si>
  <si>
    <t>WW3</t>
  </si>
  <si>
    <t>WW4</t>
  </si>
  <si>
    <t>WW5</t>
  </si>
  <si>
    <t>WW6</t>
  </si>
  <si>
    <t>WW7</t>
  </si>
  <si>
    <t>WW8</t>
  </si>
  <si>
    <t>WW9</t>
  </si>
  <si>
    <t>WW10</t>
  </si>
  <si>
    <t>WW11</t>
  </si>
  <si>
    <t>WW12</t>
  </si>
  <si>
    <t>WW13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</si>
  <si>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</si>
  <si>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</si>
  <si>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</si>
  <si>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</si>
  <si>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</si>
  <si>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</si>
  <si>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</si>
  <si>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</si>
  <si>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</si>
  <si>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</si>
  <si>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</si>
  <si>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</si>
  <si>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</si>
  <si>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</si>
  <si>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</si>
  <si>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</si>
  <si>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</si>
  <si>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</si>
  <si>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</si>
  <si>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</si>
  <si>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</si>
  <si>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</si>
  <si>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</si>
  <si>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</si>
  <si>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</si>
  <si>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</si>
  <si>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</si>
  <si>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</si>
  <si>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</si>
  <si>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</si>
  <si>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</si>
  <si>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</si>
  <si>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</si>
  <si>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</si>
  <si>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</si>
  <si>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</si>
  <si>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</si>
  <si>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</si>
  <si>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</si>
  <si>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</si>
  <si>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</si>
  <si>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</si>
  <si>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</si>
  <si>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</si>
  <si>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</si>
  <si>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</si>
  <si>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</si>
  <si>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</si>
  <si>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</si>
  <si>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</si>
  <si>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S10</t>
  </si>
  <si>
    <t>S11</t>
  </si>
  <si>
    <t>S12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</si>
  <si>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</si>
  <si>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</si>
  <si>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</si>
  <si>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</si>
  <si>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</si>
  <si>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</si>
  <si>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</si>
  <si>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</si>
  <si>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</si>
  <si>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</si>
  <si>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</si>
  <si>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</si>
  <si>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 xml:space="preserve"> Hydrogen-uptake Hydrogenase Percentage</t>
  </si>
  <si>
    <t>Hydrogen-evolving Hydrogenase Percentage</t>
  </si>
  <si>
    <t xml:space="preserve"> Nitrate reductase Percentage</t>
  </si>
  <si>
    <t>Gene</t>
  </si>
  <si>
    <t>Aerobic respiration-CcoN</t>
  </si>
  <si>
    <t>Aerobic respiration-CoxA</t>
  </si>
  <si>
    <t>Aerobic respiration-CydA</t>
  </si>
  <si>
    <t>Aerobic respiration-CyoA</t>
  </si>
  <si>
    <t>Nitrate reduction-NapA</t>
  </si>
  <si>
    <t>Nitrate reduction-NarG</t>
  </si>
  <si>
    <t>Nitrite reduction to ammonium-nrfH</t>
  </si>
  <si>
    <t>Nitrite reduction-NirK</t>
  </si>
  <si>
    <t>Nitric oxide reduction-NorB</t>
  </si>
  <si>
    <t>Dinitrogen fixation-NifH</t>
  </si>
  <si>
    <t>H2-uptake hydrogenases</t>
  </si>
  <si>
    <t>H2-evolving hydrogenases</t>
  </si>
  <si>
    <t>H2-bidirectional hydrogenases</t>
  </si>
  <si>
    <t>Arsenate reduction -ArsC</t>
  </si>
  <si>
    <t>Sulfate reduction-Sat</t>
  </si>
  <si>
    <t>Sulfate reduction-AprA</t>
  </si>
  <si>
    <t>Ferric iron reduction-MtrA</t>
  </si>
  <si>
    <t>Methane production-McrA</t>
  </si>
  <si>
    <t>Ferrous iron oxidation-Cyc2</t>
  </si>
  <si>
    <t>Thiosulfate oxidation-SoxB</t>
  </si>
  <si>
    <t>Sulfide oxidation-Sqr</t>
  </si>
  <si>
    <t>Sulfide oxidation-DsrA</t>
  </si>
  <si>
    <t>Formate oxidation-FdhA</t>
  </si>
  <si>
    <t>Photosystem I reaction centre-psaA</t>
  </si>
  <si>
    <t>Photosystem II reaction centre-psbA</t>
  </si>
  <si>
    <t>Light-dependent proton pumping-RHO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</si>
</sst>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_ "/>
  </numFmts>
  <fonts count="25">
    <font>
      <sz val="12"/>
      <color theme="1"/>
      <name val="DengXian"/>
      <charset val="134"/>
      <scheme val="minor"/>
    </font>
    <font>
      <b/>
      <sz val="12"/>
      <color theme="1"/>
      <name val="DengXian"/>
      <charset val="134"/>
      <scheme val="minor"/>
    </font>
    <font>
      <b/>
      <sz val="12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b/>
      <vertAlign val="superscript"/>
      <sz val="12"/>
      <color theme="1"/>
      <name val="DengXian"/>
      <charset val="134"/>
      <scheme val="minor"/>
    </font>
    <font>
      <b/>
      <vertAlign val="subscript"/>
      <sz val="12"/>
      <color theme="1"/>
      <name val="DengXian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177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77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  <xf numFmtId="9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4" xfId="0" applyFont="1" applyBorder="1"/>
    <xf numFmtId="9" fontId="1" fillId="0" borderId="8" xfId="0" applyNumberFormat="1" applyFont="1" applyBorder="1"/>
    <xf numFmtId="10" fontId="1" fillId="0" borderId="8" xfId="0" applyNumberFormat="1" applyFont="1" applyBorder="1"/>
    <xf numFmtId="9" fontId="1" fillId="0" borderId="5" xfId="0" applyNumberFormat="1" applyFont="1" applyBorder="1"/>
    <xf numFmtId="0" fontId="1" fillId="0" borderId="2" xfId="0" applyFont="1" applyBorder="1"/>
    <xf numFmtId="177" fontId="0" fillId="0" borderId="0" xfId="0" applyNumberFormat="1"/>
    <xf numFmtId="177" fontId="0" fillId="0" borderId="3" xfId="0" applyNumberFormat="1" applyBorder="1"/>
    <xf numFmtId="0" fontId="1" fillId="0" borderId="6" xfId="0" applyFont="1" applyBorder="1"/>
    <xf numFmtId="177" fontId="0" fillId="0" borderId="9" xfId="0" applyNumberFormat="1" applyBorder="1"/>
    <xf numFmtId="177" fontId="0" fillId="0" borderId="7" xfId="0" applyNumberFormat="1" applyBorder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/>
    <xf numFmtId="177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Calibri"/>
        <scheme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"/>
  <sheetViews>
    <sheetView tabSelected="1" workbookViewId="0">
      <selection activeCell="H20" sqref="H20"/>
    </sheetView>
  </sheetViews>
  <sheetFormatPr defaultColWidth="8.87692307692308" defaultRowHeight="15.5" outlineLevelCol="6"/>
  <cols>
    <col min="1" max="1" width="13.4692307692308" style="1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7</v>
      </c>
      <c r="B2" s="4">
        <v>4.86367298184672</v>
      </c>
      <c r="C2" s="4">
        <v>0.465057904060959</v>
      </c>
      <c r="D2" s="4">
        <v>0.289073444487381</v>
      </c>
      <c r="E2" s="4">
        <v>0.883625578516625</v>
      </c>
      <c r="F2" s="4">
        <v>0.189303605174384</v>
      </c>
      <c r="G2" s="4">
        <v>0.684073628939053</v>
      </c>
    </row>
    <row r="3" spans="1:7">
      <c r="A3" s="3" t="s">
        <v>8</v>
      </c>
      <c r="B3" s="4">
        <v>11.8707582636723</v>
      </c>
      <c r="C3" s="4">
        <v>7.88304217165362</v>
      </c>
      <c r="D3" s="4">
        <v>7.39182232660651</v>
      </c>
      <c r="E3" s="4">
        <v>10.7046095803427</v>
      </c>
      <c r="F3" s="4">
        <v>37.9876795536385</v>
      </c>
      <c r="G3" s="4">
        <v>21.7253588296043</v>
      </c>
    </row>
    <row r="4" spans="1:7">
      <c r="A4" s="3" t="s">
        <v>9</v>
      </c>
      <c r="B4" s="4">
        <v>46.8258411507417</v>
      </c>
      <c r="C4" s="4">
        <v>67.3613060135749</v>
      </c>
      <c r="D4" s="4">
        <v>52.2091381264234</v>
      </c>
      <c r="E4" s="4">
        <v>67.2431182138627</v>
      </c>
      <c r="F4" s="4">
        <v>35.9545071555603</v>
      </c>
      <c r="G4" s="4">
        <v>39.5725462359088</v>
      </c>
    </row>
    <row r="5" spans="1:7">
      <c r="A5" s="3" t="s">
        <v>10</v>
      </c>
      <c r="B5" s="4">
        <v>12.533757605734</v>
      </c>
      <c r="C5" s="4">
        <v>7.94424448471797</v>
      </c>
      <c r="D5" s="4">
        <v>10.9572858427533</v>
      </c>
      <c r="E5" s="4">
        <v>4.55961111378368</v>
      </c>
      <c r="F5" s="4">
        <v>12.4248361770346</v>
      </c>
      <c r="G5" s="4">
        <v>12.0799534629844</v>
      </c>
    </row>
    <row r="6" spans="1:7">
      <c r="A6" s="3" t="s">
        <v>11</v>
      </c>
      <c r="B6" s="4">
        <v>7.27166350067992</v>
      </c>
      <c r="C6" s="4">
        <v>3.85642153972129</v>
      </c>
      <c r="D6" s="4">
        <v>6.7549492558913</v>
      </c>
      <c r="E6" s="4">
        <v>2.70479838396556</v>
      </c>
      <c r="F6" s="4">
        <v>2.16683841194822</v>
      </c>
      <c r="G6" s="4">
        <v>5.82226447683015</v>
      </c>
    </row>
    <row r="7" spans="1:7">
      <c r="A7" s="3" t="s">
        <v>12</v>
      </c>
      <c r="B7" s="4">
        <v>5.39031386127668</v>
      </c>
      <c r="C7" s="4">
        <v>3.0606972112443</v>
      </c>
      <c r="D7" s="4">
        <v>4.21752546320363</v>
      </c>
      <c r="E7" s="4">
        <v>2.80319425747299</v>
      </c>
      <c r="F7" s="4">
        <v>2.67203883408243</v>
      </c>
      <c r="G7" s="4">
        <v>3.90171464301547</v>
      </c>
    </row>
    <row r="8" spans="1:7">
      <c r="A8" s="3" t="s">
        <v>13</v>
      </c>
      <c r="B8" s="4">
        <v>0.683596051375164</v>
      </c>
      <c r="C8" s="4">
        <v>1.14029301312096</v>
      </c>
      <c r="D8" s="4">
        <v>0.651625231804649</v>
      </c>
      <c r="E8" s="4">
        <v>2.01625177698193</v>
      </c>
      <c r="F8" s="4">
        <v>1.62307802149895</v>
      </c>
      <c r="G8" s="4">
        <v>4.55700092510256</v>
      </c>
    </row>
    <row r="9" spans="1:7">
      <c r="A9" s="3" t="s">
        <v>14</v>
      </c>
      <c r="B9" s="4">
        <v>1.85944216758009</v>
      </c>
      <c r="C9" s="4">
        <v>1.39473265288436</v>
      </c>
      <c r="D9" s="4">
        <v>2.24684388090815</v>
      </c>
      <c r="E9" s="4">
        <v>1.38287428385481</v>
      </c>
      <c r="F9" s="4">
        <v>1.45256764328076</v>
      </c>
      <c r="G9" s="4">
        <v>1.95948512019927</v>
      </c>
    </row>
    <row r="10" spans="1:7">
      <c r="A10" s="3" t="s">
        <v>15</v>
      </c>
      <c r="B10" s="4">
        <v>1.97984342124035</v>
      </c>
      <c r="C10" s="4">
        <v>1.12468520504109</v>
      </c>
      <c r="D10" s="4">
        <v>4.13447744716296</v>
      </c>
      <c r="E10" s="4">
        <v>1.24045501093741</v>
      </c>
      <c r="F10" s="4">
        <v>1.04145193724967</v>
      </c>
      <c r="G10" s="4">
        <v>1.67811453333572</v>
      </c>
    </row>
    <row r="11" spans="1:7">
      <c r="A11" s="3" t="s">
        <v>16</v>
      </c>
      <c r="B11" s="4">
        <v>1.33003924201806</v>
      </c>
      <c r="C11" s="4">
        <v>1.13728029355769</v>
      </c>
      <c r="D11" s="4">
        <v>3.60632043160288</v>
      </c>
      <c r="E11" s="4">
        <v>1.66541162711299</v>
      </c>
      <c r="F11" s="4">
        <v>0.614585953996491</v>
      </c>
      <c r="G11" s="4">
        <v>1.64190381495898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3"/>
  <sheetViews>
    <sheetView zoomScale="110" zoomScaleNormal="110" workbookViewId="0">
      <selection activeCell="C5" sqref="C5"/>
    </sheetView>
  </sheetViews>
  <sheetFormatPr defaultColWidth="10.8769230769231" defaultRowHeight="15.5" outlineLevelCol="3"/>
  <cols>
    <col min="1" max="1" width="10.8769230769231" style="1"/>
    <col min="2" max="2" width="17.8230769230769" customWidth="1"/>
    <col min="3" max="3" width="18" customWidth="1"/>
    <col min="4" max="4" width="26.4692307692308" customWidth="1"/>
  </cols>
  <sheetData>
    <row r="1" ht="18" spans="1:4">
      <c r="A1" s="3" t="s">
        <v>17</v>
      </c>
      <c r="B1" s="3" t="s">
        <v>18</v>
      </c>
      <c r="C1" s="3" t="s">
        <v>19</v>
      </c>
      <c r="D1" s="3" t="s">
        <v>20</v>
      </c>
    </row>
    <row r="2" spans="1:4">
      <c r="A2" s="3">
        <v>1</v>
      </c>
      <c r="B2" s="4">
        <v>1.47</v>
      </c>
      <c r="C2" s="4">
        <v>3.66</v>
      </c>
      <c r="D2" s="4">
        <v>40.23</v>
      </c>
    </row>
    <row r="3" spans="1:4">
      <c r="A3" s="3">
        <v>4</v>
      </c>
      <c r="B3" s="4">
        <v>2.1</v>
      </c>
      <c r="C3" s="4">
        <v>4.39</v>
      </c>
      <c r="D3" s="4">
        <v>47.83</v>
      </c>
    </row>
    <row r="4" spans="1:4">
      <c r="A4" s="3">
        <v>8</v>
      </c>
      <c r="B4" s="4">
        <v>1.94</v>
      </c>
      <c r="C4" s="4">
        <v>4.86</v>
      </c>
      <c r="D4" s="4">
        <v>39.9</v>
      </c>
    </row>
    <row r="5" spans="1:4">
      <c r="A5" s="3">
        <v>12</v>
      </c>
      <c r="B5" s="4">
        <v>2.17</v>
      </c>
      <c r="C5" s="4">
        <v>5.12</v>
      </c>
      <c r="D5" s="4">
        <v>42.38</v>
      </c>
    </row>
    <row r="6" spans="1:4">
      <c r="A6" s="3">
        <v>14</v>
      </c>
      <c r="B6" s="4">
        <v>0.42</v>
      </c>
      <c r="C6" s="4">
        <v>4.5</v>
      </c>
      <c r="D6" s="4">
        <v>9.32</v>
      </c>
    </row>
    <row r="7" spans="1:4">
      <c r="A7" s="3">
        <v>16</v>
      </c>
      <c r="B7" s="4">
        <v>1.1</v>
      </c>
      <c r="C7" s="4">
        <v>5.1</v>
      </c>
      <c r="D7" s="4">
        <v>21.5</v>
      </c>
    </row>
    <row r="8" spans="1:4">
      <c r="A8" s="3">
        <v>20</v>
      </c>
      <c r="B8" s="4">
        <v>1.75</v>
      </c>
      <c r="C8" s="4">
        <v>5.1</v>
      </c>
      <c r="D8" s="4">
        <v>34.33</v>
      </c>
    </row>
    <row r="9" spans="1:4">
      <c r="A9" s="3">
        <v>24</v>
      </c>
      <c r="B9" s="4">
        <v>2.29</v>
      </c>
      <c r="C9" s="4">
        <v>4.65</v>
      </c>
      <c r="D9" s="4">
        <v>49.13</v>
      </c>
    </row>
    <row r="10" spans="1:4">
      <c r="A10" s="3">
        <v>28</v>
      </c>
      <c r="B10" s="4">
        <v>2.12</v>
      </c>
      <c r="C10" s="4">
        <v>4.63</v>
      </c>
      <c r="D10" s="4">
        <v>45.84</v>
      </c>
    </row>
    <row r="11" spans="1:4">
      <c r="A11" s="3">
        <v>32</v>
      </c>
      <c r="B11" s="4">
        <v>2.55</v>
      </c>
      <c r="C11" s="4">
        <v>4.68</v>
      </c>
      <c r="D11" s="4">
        <v>54.58</v>
      </c>
    </row>
    <row r="12" spans="1:4">
      <c r="A12" s="3">
        <v>36</v>
      </c>
      <c r="B12" s="4">
        <v>2.27</v>
      </c>
      <c r="C12" s="4">
        <v>4.9</v>
      </c>
      <c r="D12" s="4">
        <v>46.21</v>
      </c>
    </row>
    <row r="13" spans="1:4">
      <c r="A13" s="3">
        <v>40</v>
      </c>
      <c r="B13" s="4">
        <v>2.63</v>
      </c>
      <c r="C13" s="4">
        <v>5.48</v>
      </c>
      <c r="D13" s="4">
        <v>48</v>
      </c>
    </row>
    <row r="14" spans="1:4">
      <c r="A14" s="3">
        <v>44</v>
      </c>
      <c r="B14" s="4">
        <v>2.08</v>
      </c>
      <c r="C14" s="4">
        <v>4.88</v>
      </c>
      <c r="D14" s="4">
        <v>42.58</v>
      </c>
    </row>
    <row r="15" spans="1:4">
      <c r="A15" s="3">
        <v>48</v>
      </c>
      <c r="B15" s="4">
        <v>2.06</v>
      </c>
      <c r="C15" s="4">
        <v>4.9</v>
      </c>
      <c r="D15" s="4">
        <v>42.04</v>
      </c>
    </row>
    <row r="16" spans="1:4">
      <c r="A16" s="3">
        <v>52</v>
      </c>
      <c r="B16" s="4">
        <v>2.51</v>
      </c>
      <c r="C16" s="4">
        <v>5.24</v>
      </c>
      <c r="D16" s="4">
        <v>48</v>
      </c>
    </row>
    <row r="17" spans="1:4">
      <c r="A17" s="3">
        <v>56</v>
      </c>
      <c r="B17" s="4">
        <v>2.58</v>
      </c>
      <c r="C17" s="4">
        <v>5.14</v>
      </c>
      <c r="D17" s="4">
        <v>50.09</v>
      </c>
    </row>
    <row r="18" spans="1:4">
      <c r="A18" s="3">
        <v>60</v>
      </c>
      <c r="B18" s="4">
        <v>1.93</v>
      </c>
      <c r="C18" s="4">
        <v>4.81</v>
      </c>
      <c r="D18" s="4">
        <v>40.1</v>
      </c>
    </row>
    <row r="19" spans="1:4">
      <c r="A19" s="3">
        <v>64</v>
      </c>
      <c r="B19" s="4">
        <v>2.28</v>
      </c>
      <c r="C19" s="4">
        <v>4.89</v>
      </c>
      <c r="D19" s="4">
        <v>46.64</v>
      </c>
    </row>
    <row r="20" spans="1:4">
      <c r="A20" s="3">
        <v>68</v>
      </c>
      <c r="B20" s="4">
        <v>2.06</v>
      </c>
      <c r="C20" s="4">
        <v>4.86</v>
      </c>
      <c r="D20" s="4">
        <v>42.35</v>
      </c>
    </row>
    <row r="21" spans="1:4">
      <c r="A21" s="3">
        <v>72</v>
      </c>
      <c r="B21" s="4">
        <v>2</v>
      </c>
      <c r="C21" s="4">
        <v>4.56</v>
      </c>
      <c r="D21" s="4">
        <v>43.99</v>
      </c>
    </row>
    <row r="22" spans="1:4">
      <c r="A22" s="3">
        <v>76</v>
      </c>
      <c r="B22" s="4">
        <v>2.74</v>
      </c>
      <c r="C22" s="4">
        <v>4.78</v>
      </c>
      <c r="D22" s="4">
        <v>57.27</v>
      </c>
    </row>
    <row r="23" spans="1:4">
      <c r="A23" s="3">
        <v>80</v>
      </c>
      <c r="B23" s="4">
        <v>3.19</v>
      </c>
      <c r="C23" s="4">
        <v>4.45</v>
      </c>
      <c r="D23" s="4">
        <v>71.73</v>
      </c>
    </row>
    <row r="24" spans="1:4">
      <c r="A24" s="3">
        <v>84</v>
      </c>
      <c r="B24" s="4">
        <v>3.42</v>
      </c>
      <c r="C24" s="4">
        <v>4.8</v>
      </c>
      <c r="D24" s="4">
        <v>71.16</v>
      </c>
    </row>
    <row r="25" spans="1:4">
      <c r="A25" s="3">
        <v>88</v>
      </c>
      <c r="B25" s="4">
        <v>3.37</v>
      </c>
      <c r="C25" s="4">
        <v>4.7</v>
      </c>
      <c r="D25" s="4">
        <v>71.66</v>
      </c>
    </row>
    <row r="26" spans="1:4">
      <c r="A26" s="3">
        <v>92</v>
      </c>
      <c r="B26" s="4">
        <v>3.55</v>
      </c>
      <c r="C26" s="4">
        <v>4.93</v>
      </c>
      <c r="D26" s="4">
        <v>71.98</v>
      </c>
    </row>
    <row r="27" spans="1:4">
      <c r="A27" s="3">
        <v>96</v>
      </c>
      <c r="B27" s="4">
        <v>3.31</v>
      </c>
      <c r="C27" s="4">
        <v>4.97</v>
      </c>
      <c r="D27" s="4">
        <v>66.63</v>
      </c>
    </row>
    <row r="28" spans="1:4">
      <c r="A28" s="3">
        <v>100</v>
      </c>
      <c r="B28" s="4">
        <v>2.67</v>
      </c>
      <c r="C28" s="4">
        <v>4.57</v>
      </c>
      <c r="D28" s="4">
        <v>58.39</v>
      </c>
    </row>
    <row r="29" spans="1:4">
      <c r="A29" s="3">
        <v>104</v>
      </c>
      <c r="B29" s="4">
        <v>3.42</v>
      </c>
      <c r="C29" s="4">
        <v>4.73</v>
      </c>
      <c r="D29" s="4">
        <v>72.33</v>
      </c>
    </row>
    <row r="30" spans="1:4">
      <c r="A30" s="3">
        <v>108</v>
      </c>
      <c r="B30" s="4">
        <v>3.81</v>
      </c>
      <c r="C30" s="4">
        <v>4.99</v>
      </c>
      <c r="D30" s="4">
        <v>76.41</v>
      </c>
    </row>
    <row r="31" spans="1:4">
      <c r="A31" s="3">
        <v>112</v>
      </c>
      <c r="B31" s="4">
        <v>3.32</v>
      </c>
      <c r="C31" s="4">
        <v>4.6</v>
      </c>
      <c r="D31" s="4">
        <v>72.08</v>
      </c>
    </row>
    <row r="32" spans="1:4">
      <c r="A32" s="3">
        <v>116</v>
      </c>
      <c r="B32" s="4">
        <v>3.75</v>
      </c>
      <c r="C32" s="4">
        <v>4.98</v>
      </c>
      <c r="D32" s="4">
        <v>75.24</v>
      </c>
    </row>
    <row r="33" spans="1:4">
      <c r="A33" s="3">
        <v>120</v>
      </c>
      <c r="B33" s="4">
        <v>3.59</v>
      </c>
      <c r="C33" s="4">
        <v>4.96</v>
      </c>
      <c r="D33" s="4">
        <v>72.26</v>
      </c>
    </row>
    <row r="34" spans="1:4">
      <c r="A34" s="3">
        <v>124</v>
      </c>
      <c r="B34" s="4">
        <v>3.98</v>
      </c>
      <c r="C34" s="4">
        <v>4.72</v>
      </c>
      <c r="D34" s="4">
        <v>84.27</v>
      </c>
    </row>
    <row r="35" spans="1:4">
      <c r="A35" s="3">
        <v>128</v>
      </c>
      <c r="B35" s="4">
        <v>4.09</v>
      </c>
      <c r="C35" s="4">
        <v>4.99</v>
      </c>
      <c r="D35" s="4">
        <v>81.87</v>
      </c>
    </row>
    <row r="36" spans="1:4">
      <c r="A36" s="3">
        <v>132</v>
      </c>
      <c r="B36" s="4">
        <v>4.24</v>
      </c>
      <c r="C36" s="4">
        <v>5.23</v>
      </c>
      <c r="D36" s="4">
        <v>80.98</v>
      </c>
    </row>
    <row r="37" spans="1:4">
      <c r="A37" s="3">
        <v>136</v>
      </c>
      <c r="B37" s="4">
        <v>3.96</v>
      </c>
      <c r="C37" s="4">
        <v>4.99</v>
      </c>
      <c r="D37" s="4">
        <v>79.47</v>
      </c>
    </row>
    <row r="38" spans="1:4">
      <c r="A38" s="3">
        <v>140</v>
      </c>
      <c r="B38" s="4">
        <v>3.9</v>
      </c>
      <c r="C38" s="4">
        <v>4.86</v>
      </c>
      <c r="D38" s="4">
        <v>80.12</v>
      </c>
    </row>
    <row r="39" spans="1:4">
      <c r="A39" s="3">
        <v>144</v>
      </c>
      <c r="B39" s="4">
        <v>3.52</v>
      </c>
      <c r="C39" s="4">
        <v>4.48</v>
      </c>
      <c r="D39" s="4">
        <v>78.53</v>
      </c>
    </row>
    <row r="40" spans="1:4">
      <c r="A40" s="3">
        <v>148</v>
      </c>
      <c r="B40" s="4">
        <v>3.81</v>
      </c>
      <c r="C40" s="4">
        <v>4.84</v>
      </c>
      <c r="D40" s="4">
        <v>78.76</v>
      </c>
    </row>
    <row r="41" spans="1:4">
      <c r="A41" s="3">
        <v>152</v>
      </c>
      <c r="B41" s="4">
        <v>3.65</v>
      </c>
      <c r="C41" s="4">
        <v>4.82</v>
      </c>
      <c r="D41" s="4">
        <v>75.69</v>
      </c>
    </row>
    <row r="42" spans="1:4">
      <c r="A42" s="3">
        <v>156</v>
      </c>
      <c r="B42" s="4">
        <v>3.84</v>
      </c>
      <c r="C42" s="4">
        <v>4.9</v>
      </c>
      <c r="D42" s="4">
        <v>78.35</v>
      </c>
    </row>
    <row r="43" spans="1:4">
      <c r="A43" s="3">
        <v>160</v>
      </c>
      <c r="B43" s="4">
        <v>3.89</v>
      </c>
      <c r="C43" s="4">
        <v>5.02</v>
      </c>
      <c r="D43" s="4">
        <v>77.51</v>
      </c>
    </row>
    <row r="44" spans="1:4">
      <c r="A44" s="3">
        <v>164</v>
      </c>
      <c r="B44" s="4">
        <v>3.61</v>
      </c>
      <c r="C44" s="4">
        <v>5.02</v>
      </c>
      <c r="D44" s="4">
        <v>71.92</v>
      </c>
    </row>
    <row r="45" spans="1:4">
      <c r="A45" s="3">
        <v>168</v>
      </c>
      <c r="B45" s="4">
        <v>3.79</v>
      </c>
      <c r="C45" s="4">
        <v>5</v>
      </c>
      <c r="D45" s="4">
        <v>75.64</v>
      </c>
    </row>
    <row r="46" spans="1:4">
      <c r="A46" s="3">
        <v>172</v>
      </c>
      <c r="B46" s="4">
        <v>3.59</v>
      </c>
      <c r="C46" s="4">
        <v>4.83</v>
      </c>
      <c r="D46" s="4">
        <v>74.36</v>
      </c>
    </row>
    <row r="47" spans="1:4">
      <c r="A47" s="3">
        <v>176</v>
      </c>
      <c r="B47" s="4">
        <v>3.72</v>
      </c>
      <c r="C47" s="4">
        <v>5</v>
      </c>
      <c r="D47" s="4">
        <v>74.41</v>
      </c>
    </row>
    <row r="48" spans="1:4">
      <c r="A48" s="3">
        <v>180</v>
      </c>
      <c r="B48" s="4">
        <v>3.67</v>
      </c>
      <c r="C48" s="4">
        <v>4.81</v>
      </c>
      <c r="D48" s="4">
        <v>76.16</v>
      </c>
    </row>
    <row r="49" spans="1:4">
      <c r="A49" s="3">
        <v>184</v>
      </c>
      <c r="B49" s="4">
        <v>3.88</v>
      </c>
      <c r="C49" s="4">
        <v>5.13</v>
      </c>
      <c r="D49" s="4">
        <v>75.67</v>
      </c>
    </row>
    <row r="50" spans="1:4">
      <c r="A50" s="3">
        <v>188</v>
      </c>
      <c r="B50" s="4">
        <v>3.44</v>
      </c>
      <c r="C50" s="4">
        <v>4.86</v>
      </c>
      <c r="D50" s="4">
        <v>70.78</v>
      </c>
    </row>
    <row r="51" spans="1:4">
      <c r="A51" s="3">
        <v>192</v>
      </c>
      <c r="B51" s="4">
        <v>3.37</v>
      </c>
      <c r="C51" s="4">
        <v>4.84</v>
      </c>
      <c r="D51" s="4">
        <v>69.58</v>
      </c>
    </row>
    <row r="52" spans="1:4">
      <c r="A52" s="3">
        <v>196</v>
      </c>
      <c r="B52" s="4">
        <v>3.22</v>
      </c>
      <c r="C52" s="4">
        <v>4.91</v>
      </c>
      <c r="D52" s="4">
        <v>65.5</v>
      </c>
    </row>
    <row r="53" spans="1:4">
      <c r="A53" s="3">
        <v>200</v>
      </c>
      <c r="B53" s="4">
        <v>3.48</v>
      </c>
      <c r="C53" s="4">
        <v>5.33</v>
      </c>
      <c r="D53" s="4">
        <v>65.31</v>
      </c>
    </row>
    <row r="54" spans="1:4">
      <c r="A54" s="3">
        <v>204</v>
      </c>
      <c r="B54" s="4">
        <v>3.22</v>
      </c>
      <c r="C54" s="4">
        <v>4.55</v>
      </c>
      <c r="D54" s="4">
        <v>70.7</v>
      </c>
    </row>
    <row r="55" spans="1:4">
      <c r="A55" s="3">
        <v>208</v>
      </c>
      <c r="B55" s="4">
        <v>3.08</v>
      </c>
      <c r="C55" s="4">
        <v>4.47</v>
      </c>
      <c r="D55" s="4">
        <v>68.9</v>
      </c>
    </row>
    <row r="56" spans="1:4">
      <c r="A56" s="3">
        <v>212</v>
      </c>
      <c r="B56" s="4">
        <v>3.18</v>
      </c>
      <c r="C56" s="4">
        <v>4.78</v>
      </c>
      <c r="D56" s="4">
        <v>66.54</v>
      </c>
    </row>
    <row r="57" spans="1:4">
      <c r="A57" s="3">
        <v>216</v>
      </c>
      <c r="B57" s="4">
        <v>3.75</v>
      </c>
      <c r="C57" s="4">
        <v>5.42</v>
      </c>
      <c r="D57" s="4">
        <v>69.25</v>
      </c>
    </row>
    <row r="58" spans="1:4">
      <c r="A58" s="3">
        <v>220</v>
      </c>
      <c r="B58" s="4">
        <v>3.52</v>
      </c>
      <c r="C58" s="4">
        <v>4.88</v>
      </c>
      <c r="D58" s="4">
        <v>72.09</v>
      </c>
    </row>
    <row r="59" spans="1:4">
      <c r="A59" s="3">
        <v>224</v>
      </c>
      <c r="B59" s="4">
        <v>2.67</v>
      </c>
      <c r="C59" s="4">
        <v>4.9</v>
      </c>
      <c r="D59" s="4">
        <v>54.52</v>
      </c>
    </row>
    <row r="60" spans="1:4">
      <c r="A60" s="3">
        <v>228</v>
      </c>
      <c r="B60" s="4">
        <v>2.5</v>
      </c>
      <c r="C60" s="4">
        <v>4.53</v>
      </c>
      <c r="D60" s="4">
        <v>55.25</v>
      </c>
    </row>
    <row r="61" spans="1:4">
      <c r="A61" s="3">
        <v>232</v>
      </c>
      <c r="B61" s="4">
        <v>2.8</v>
      </c>
      <c r="C61" s="4">
        <v>5.12</v>
      </c>
      <c r="D61" s="4">
        <v>54.6</v>
      </c>
    </row>
    <row r="62" spans="1:4">
      <c r="A62" s="3">
        <v>236</v>
      </c>
      <c r="B62" s="4">
        <v>2.48</v>
      </c>
      <c r="C62" s="4">
        <v>4.61</v>
      </c>
      <c r="D62" s="4">
        <v>53.72</v>
      </c>
    </row>
    <row r="63" spans="1:4">
      <c r="A63" s="3">
        <v>240</v>
      </c>
      <c r="B63" s="4">
        <v>2.53</v>
      </c>
      <c r="C63" s="4">
        <v>4.62</v>
      </c>
      <c r="D63" s="4">
        <v>54.74</v>
      </c>
    </row>
    <row r="64" spans="1:4">
      <c r="A64" s="3">
        <v>244</v>
      </c>
      <c r="B64" s="4">
        <v>2.6</v>
      </c>
      <c r="C64" s="4">
        <v>4.63</v>
      </c>
      <c r="D64" s="4">
        <v>56.12</v>
      </c>
    </row>
    <row r="65" spans="1:4">
      <c r="A65" s="3">
        <v>248</v>
      </c>
      <c r="B65" s="4">
        <v>2.76</v>
      </c>
      <c r="C65" s="4">
        <v>4.81</v>
      </c>
      <c r="D65" s="4">
        <v>57.43</v>
      </c>
    </row>
    <row r="66" spans="1:4">
      <c r="A66" s="3">
        <v>252</v>
      </c>
      <c r="B66" s="4">
        <v>2.8</v>
      </c>
      <c r="C66" s="4">
        <v>4.84</v>
      </c>
      <c r="D66" s="4">
        <v>57.72</v>
      </c>
    </row>
    <row r="67" spans="1:4">
      <c r="A67" s="3">
        <v>256</v>
      </c>
      <c r="B67" s="4">
        <v>2.62</v>
      </c>
      <c r="C67" s="4">
        <v>4.55</v>
      </c>
      <c r="D67" s="4">
        <v>57.64</v>
      </c>
    </row>
    <row r="68" spans="1:4">
      <c r="A68" s="3">
        <v>260</v>
      </c>
      <c r="B68" s="4">
        <v>2.73</v>
      </c>
      <c r="C68" s="4">
        <v>4.83</v>
      </c>
      <c r="D68" s="4">
        <v>56.61</v>
      </c>
    </row>
    <row r="69" spans="1:4">
      <c r="A69" s="3">
        <v>264</v>
      </c>
      <c r="B69" s="4">
        <v>2.54</v>
      </c>
      <c r="C69" s="4">
        <v>4.43</v>
      </c>
      <c r="D69" s="4">
        <v>57.36</v>
      </c>
    </row>
    <row r="70" spans="1:4">
      <c r="A70" s="3">
        <v>268</v>
      </c>
      <c r="B70" s="4">
        <v>2.73</v>
      </c>
      <c r="C70" s="4">
        <v>4.71</v>
      </c>
      <c r="D70" s="4">
        <v>57.98</v>
      </c>
    </row>
    <row r="71" spans="1:4">
      <c r="A71" s="3">
        <v>272</v>
      </c>
      <c r="B71" s="4">
        <v>2.69</v>
      </c>
      <c r="C71" s="4">
        <v>4.79</v>
      </c>
      <c r="D71" s="4">
        <v>56.22</v>
      </c>
    </row>
    <row r="72" spans="1:4">
      <c r="A72" s="3">
        <v>276</v>
      </c>
      <c r="B72" s="4">
        <v>2.53</v>
      </c>
      <c r="C72" s="4">
        <v>4.47</v>
      </c>
      <c r="D72" s="4">
        <v>56.61</v>
      </c>
    </row>
    <row r="73" spans="1:4">
      <c r="A73" s="3">
        <v>280</v>
      </c>
      <c r="B73" s="4">
        <v>2.61</v>
      </c>
      <c r="C73" s="4">
        <v>4.59</v>
      </c>
      <c r="D73" s="4">
        <v>57.01</v>
      </c>
    </row>
    <row r="74" spans="1:4">
      <c r="A74" s="3">
        <v>284</v>
      </c>
      <c r="B74" s="4">
        <v>2.87</v>
      </c>
      <c r="C74" s="4">
        <v>4.73</v>
      </c>
      <c r="D74" s="4">
        <v>60.56</v>
      </c>
    </row>
    <row r="75" spans="1:4">
      <c r="A75" s="3">
        <v>288</v>
      </c>
      <c r="B75" s="4">
        <v>2.96</v>
      </c>
      <c r="C75" s="4">
        <v>4.56</v>
      </c>
      <c r="D75" s="4">
        <v>64.93</v>
      </c>
    </row>
    <row r="76" spans="1:4">
      <c r="A76" s="3">
        <v>292</v>
      </c>
      <c r="B76" s="4">
        <v>3</v>
      </c>
      <c r="C76" s="4">
        <v>5.15</v>
      </c>
      <c r="D76" s="4">
        <v>58.23</v>
      </c>
    </row>
    <row r="77" spans="1:4">
      <c r="A77" s="3">
        <v>296</v>
      </c>
      <c r="B77" s="4">
        <v>3.12</v>
      </c>
      <c r="C77" s="4">
        <v>5.05</v>
      </c>
      <c r="D77" s="4">
        <v>61.79</v>
      </c>
    </row>
    <row r="78" spans="1:4">
      <c r="A78" s="3">
        <v>300</v>
      </c>
      <c r="B78" s="4">
        <v>3.1</v>
      </c>
      <c r="C78" s="4">
        <v>4.83</v>
      </c>
      <c r="D78" s="4">
        <v>64.24</v>
      </c>
    </row>
    <row r="79" spans="1:4">
      <c r="A79" s="3">
        <v>304</v>
      </c>
      <c r="B79" s="4">
        <v>2.83</v>
      </c>
      <c r="C79" s="4">
        <v>4.56</v>
      </c>
      <c r="D79" s="4">
        <v>62.07</v>
      </c>
    </row>
    <row r="80" spans="1:4">
      <c r="A80" s="3">
        <v>308</v>
      </c>
      <c r="B80" s="4">
        <v>2.64</v>
      </c>
      <c r="C80" s="4">
        <v>4.32</v>
      </c>
      <c r="D80" s="4">
        <v>61.12</v>
      </c>
    </row>
    <row r="81" spans="1:4">
      <c r="A81" s="3">
        <v>312</v>
      </c>
      <c r="B81" s="4">
        <v>2.87</v>
      </c>
      <c r="C81" s="4">
        <v>4.6</v>
      </c>
      <c r="D81" s="4">
        <v>62.32</v>
      </c>
    </row>
    <row r="82" spans="1:4">
      <c r="A82" s="3">
        <v>316</v>
      </c>
      <c r="B82" s="4">
        <v>2.79</v>
      </c>
      <c r="C82" s="4">
        <v>4.36</v>
      </c>
      <c r="D82" s="4">
        <v>64.04</v>
      </c>
    </row>
    <row r="83" spans="1:4">
      <c r="A83" s="3">
        <v>320</v>
      </c>
      <c r="B83" s="4">
        <v>2.92</v>
      </c>
      <c r="C83" s="4">
        <v>4.77</v>
      </c>
      <c r="D83" s="4">
        <v>61.18</v>
      </c>
    </row>
    <row r="84" spans="1:4">
      <c r="A84" s="3">
        <v>324</v>
      </c>
      <c r="B84" s="4">
        <v>2.67</v>
      </c>
      <c r="C84" s="4">
        <v>4.39</v>
      </c>
      <c r="D84" s="4">
        <v>60.85</v>
      </c>
    </row>
    <row r="85" spans="1:4">
      <c r="A85" s="3">
        <v>328</v>
      </c>
      <c r="B85" s="4">
        <v>3.3</v>
      </c>
      <c r="C85" s="4">
        <v>5.3</v>
      </c>
      <c r="D85" s="4">
        <v>62.35</v>
      </c>
    </row>
    <row r="86" spans="1:4">
      <c r="A86" s="3">
        <v>332</v>
      </c>
      <c r="B86" s="4">
        <v>3.12</v>
      </c>
      <c r="C86" s="4">
        <v>4.85</v>
      </c>
      <c r="D86" s="4">
        <v>64.44</v>
      </c>
    </row>
    <row r="87" spans="1:4">
      <c r="A87" s="3">
        <v>336</v>
      </c>
      <c r="B87" s="4">
        <v>2.8</v>
      </c>
      <c r="C87" s="4">
        <v>4.42</v>
      </c>
      <c r="D87" s="4">
        <v>63.4</v>
      </c>
    </row>
    <row r="88" spans="1:4">
      <c r="A88" s="3">
        <v>340</v>
      </c>
      <c r="B88" s="4">
        <v>3.09</v>
      </c>
      <c r="C88" s="4">
        <v>4.64</v>
      </c>
      <c r="D88" s="4">
        <v>66.53</v>
      </c>
    </row>
    <row r="89" spans="1:4">
      <c r="A89" s="3">
        <v>344</v>
      </c>
      <c r="B89" s="4">
        <v>3.4</v>
      </c>
      <c r="C89" s="4">
        <v>5.16</v>
      </c>
      <c r="D89" s="4">
        <v>65.77</v>
      </c>
    </row>
    <row r="90" spans="1:4">
      <c r="A90" s="3">
        <v>348</v>
      </c>
      <c r="B90" s="4">
        <v>3.14</v>
      </c>
      <c r="C90" s="4">
        <v>4.7</v>
      </c>
      <c r="D90" s="4">
        <v>66.94</v>
      </c>
    </row>
    <row r="91" spans="1:4">
      <c r="A91" s="3">
        <v>352</v>
      </c>
      <c r="B91" s="4">
        <v>3.5</v>
      </c>
      <c r="C91" s="4">
        <v>5.32</v>
      </c>
      <c r="D91" s="4">
        <v>65.71</v>
      </c>
    </row>
    <row r="92" spans="1:4">
      <c r="A92" s="3">
        <v>356</v>
      </c>
      <c r="B92" s="4">
        <v>3.04</v>
      </c>
      <c r="C92" s="4">
        <v>4.5</v>
      </c>
      <c r="D92" s="4">
        <v>67.69</v>
      </c>
    </row>
    <row r="93" spans="1:4">
      <c r="A93" s="3">
        <v>360</v>
      </c>
      <c r="B93" s="4">
        <v>3.33</v>
      </c>
      <c r="C93" s="4">
        <v>5.1</v>
      </c>
      <c r="D93" s="4">
        <v>65.21</v>
      </c>
    </row>
    <row r="94" spans="1:4">
      <c r="A94" s="3">
        <v>364</v>
      </c>
      <c r="B94" s="4">
        <v>3.48</v>
      </c>
      <c r="C94" s="4">
        <v>5.29</v>
      </c>
      <c r="D94" s="4">
        <v>65.8</v>
      </c>
    </row>
    <row r="95" spans="1:4">
      <c r="A95" s="3">
        <v>368</v>
      </c>
      <c r="B95" s="4">
        <v>3.21</v>
      </c>
      <c r="C95" s="4">
        <v>5.16</v>
      </c>
      <c r="D95" s="4">
        <v>62.33</v>
      </c>
    </row>
    <row r="96" spans="1:4">
      <c r="A96" s="3">
        <v>372</v>
      </c>
      <c r="B96" s="4">
        <v>2.67</v>
      </c>
      <c r="C96" s="4">
        <v>4.75</v>
      </c>
      <c r="D96" s="4">
        <v>56.27</v>
      </c>
    </row>
    <row r="97" spans="1:4">
      <c r="A97" s="3">
        <v>376</v>
      </c>
      <c r="B97" s="4">
        <v>3.12</v>
      </c>
      <c r="C97" s="4">
        <v>5.25</v>
      </c>
      <c r="D97" s="4">
        <v>59.44</v>
      </c>
    </row>
    <row r="98" spans="1:4">
      <c r="A98" s="3">
        <v>380</v>
      </c>
      <c r="B98" s="4">
        <v>2.76</v>
      </c>
      <c r="C98" s="4">
        <v>4.75</v>
      </c>
      <c r="D98" s="4">
        <v>58.07</v>
      </c>
    </row>
    <row r="99" spans="1:4">
      <c r="A99" s="3">
        <v>384</v>
      </c>
      <c r="B99" s="4">
        <v>2.84</v>
      </c>
      <c r="C99" s="4">
        <v>4.92</v>
      </c>
      <c r="D99" s="4">
        <v>57.79</v>
      </c>
    </row>
    <row r="100" spans="1:4">
      <c r="A100" s="3">
        <v>388</v>
      </c>
      <c r="B100" s="4">
        <v>3</v>
      </c>
      <c r="C100" s="4">
        <v>4.97</v>
      </c>
      <c r="D100" s="4">
        <v>60.4</v>
      </c>
    </row>
    <row r="101" spans="1:4">
      <c r="A101" s="3">
        <v>392</v>
      </c>
      <c r="B101" s="4">
        <v>3.07</v>
      </c>
      <c r="C101" s="4">
        <v>5.07</v>
      </c>
      <c r="D101" s="4">
        <v>60.62</v>
      </c>
    </row>
    <row r="102" spans="1:4">
      <c r="A102" s="3">
        <v>396</v>
      </c>
      <c r="B102" s="4">
        <v>2.9</v>
      </c>
      <c r="C102" s="4">
        <v>5.06</v>
      </c>
      <c r="D102" s="4">
        <v>57.38</v>
      </c>
    </row>
    <row r="103" spans="1:4">
      <c r="A103" s="3">
        <v>400</v>
      </c>
      <c r="B103" s="4">
        <v>3.25</v>
      </c>
      <c r="C103" s="4">
        <v>4.48</v>
      </c>
      <c r="D103" s="4">
        <v>60.96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4"/>
  <sheetViews>
    <sheetView zoomScale="120" zoomScaleNormal="120" workbookViewId="0">
      <selection activeCell="C5" sqref="C5"/>
    </sheetView>
  </sheetViews>
  <sheetFormatPr defaultColWidth="8.87692307692308" defaultRowHeight="15.5" outlineLevelCol="4"/>
  <cols>
    <col min="1" max="1" width="8.87692307692308" style="1"/>
    <col min="2" max="2" width="15.0615384615385" customWidth="1"/>
    <col min="3" max="3" width="16.8769230769231" customWidth="1"/>
    <col min="4" max="4" width="13.0615384615385" customWidth="1"/>
    <col min="5" max="5" width="14.0615384615385" customWidth="1"/>
  </cols>
  <sheetData>
    <row r="1" s="1" customFormat="1" ht="18.5" spans="1: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>
      <c r="A2" s="3">
        <v>0</v>
      </c>
      <c r="B2" s="12">
        <v>5.31</v>
      </c>
      <c r="C2" s="12">
        <v>0.08</v>
      </c>
      <c r="D2" s="12">
        <v>0.54</v>
      </c>
      <c r="E2" s="12">
        <v>1.5</v>
      </c>
    </row>
    <row r="3" spans="1:5">
      <c r="A3" s="3">
        <v>2</v>
      </c>
      <c r="B3" s="12">
        <v>5.02</v>
      </c>
      <c r="C3" s="12">
        <v>0.11</v>
      </c>
      <c r="D3" s="12">
        <v>0.7</v>
      </c>
      <c r="E3" s="12">
        <v>1.2</v>
      </c>
    </row>
    <row r="4" spans="1:5">
      <c r="A4" s="3">
        <v>4</v>
      </c>
      <c r="B4" s="12">
        <v>4.56</v>
      </c>
      <c r="C4" s="12">
        <v>0.27</v>
      </c>
      <c r="D4" s="12">
        <v>1.28</v>
      </c>
      <c r="E4" s="12">
        <v>0.8</v>
      </c>
    </row>
    <row r="5" spans="1:5">
      <c r="A5" s="3">
        <v>6</v>
      </c>
      <c r="B5" s="12">
        <v>3.63</v>
      </c>
      <c r="C5" s="12">
        <v>0.32</v>
      </c>
      <c r="D5" s="12">
        <v>1.69</v>
      </c>
      <c r="E5" s="12">
        <v>1</v>
      </c>
    </row>
    <row r="6" spans="1:5">
      <c r="A6" s="3">
        <v>8</v>
      </c>
      <c r="B6" s="12">
        <v>2.65</v>
      </c>
      <c r="C6" s="12">
        <v>0.44</v>
      </c>
      <c r="D6" s="12">
        <v>2.15</v>
      </c>
      <c r="E6" s="12">
        <v>1</v>
      </c>
    </row>
    <row r="7" spans="1:5">
      <c r="A7" s="3">
        <v>10</v>
      </c>
      <c r="B7" s="12">
        <v>1.81</v>
      </c>
      <c r="C7" s="12">
        <v>0.33</v>
      </c>
      <c r="D7" s="12">
        <v>2.54</v>
      </c>
      <c r="E7" s="12">
        <v>1.1</v>
      </c>
    </row>
    <row r="8" spans="1:5">
      <c r="A8" s="3">
        <v>12</v>
      </c>
      <c r="B8" s="12">
        <v>0.88</v>
      </c>
      <c r="C8" s="12">
        <v>0.44</v>
      </c>
      <c r="D8" s="12">
        <v>3.27</v>
      </c>
      <c r="E8" s="12">
        <v>1</v>
      </c>
    </row>
    <row r="9" spans="1:5">
      <c r="A9" s="3">
        <v>14</v>
      </c>
      <c r="B9" s="12">
        <v>0.89</v>
      </c>
      <c r="C9" s="12">
        <v>0.3</v>
      </c>
      <c r="D9" s="12">
        <v>2.88</v>
      </c>
      <c r="E9" s="12">
        <v>0.1</v>
      </c>
    </row>
    <row r="10" spans="1:5">
      <c r="A10" s="3">
        <v>16</v>
      </c>
      <c r="B10" s="12">
        <v>0.81</v>
      </c>
      <c r="C10" s="12">
        <v>0.21</v>
      </c>
      <c r="D10" s="12">
        <v>2.37</v>
      </c>
      <c r="E10" s="12">
        <v>0</v>
      </c>
    </row>
    <row r="11" spans="1:5">
      <c r="A11" s="3">
        <v>18</v>
      </c>
      <c r="B11" s="12">
        <v>0.78</v>
      </c>
      <c r="C11" s="12">
        <v>0.18</v>
      </c>
      <c r="D11" s="12">
        <v>2.01</v>
      </c>
      <c r="E11" s="12">
        <v>0</v>
      </c>
    </row>
    <row r="12" spans="1:5">
      <c r="A12" s="3">
        <v>20</v>
      </c>
      <c r="B12" s="12">
        <v>0.75</v>
      </c>
      <c r="C12" s="12">
        <v>0.18</v>
      </c>
      <c r="D12" s="12">
        <v>1.79</v>
      </c>
      <c r="E12" s="12">
        <v>0</v>
      </c>
    </row>
    <row r="13" spans="1:5">
      <c r="A13" s="3">
        <v>22</v>
      </c>
      <c r="B13" s="12">
        <v>0.75</v>
      </c>
      <c r="C13" s="12">
        <v>0.11</v>
      </c>
      <c r="D13" s="12">
        <v>1.79</v>
      </c>
      <c r="E13" s="12">
        <v>0</v>
      </c>
    </row>
    <row r="14" spans="1:5">
      <c r="A14" s="3">
        <v>24</v>
      </c>
      <c r="B14" s="12">
        <v>0.74</v>
      </c>
      <c r="C14" s="12">
        <v>0.16</v>
      </c>
      <c r="D14" s="12">
        <v>1.72</v>
      </c>
      <c r="E14" s="1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9"/>
  <sheetViews>
    <sheetView zoomScale="160" zoomScaleNormal="160" workbookViewId="0">
      <selection activeCell="A3" sqref="A3"/>
    </sheetView>
  </sheetViews>
  <sheetFormatPr defaultColWidth="8.87692307692308" defaultRowHeight="15.5"/>
  <cols>
    <col min="1" max="1" width="26.2923076923077" style="1" customWidth="1"/>
    <col min="2" max="4" width="9" customWidth="1"/>
    <col min="5" max="5" width="9.46923076923077" customWidth="1"/>
    <col min="6" max="10" width="9" customWidth="1"/>
  </cols>
  <sheetData>
    <row r="1" s="13" customFormat="1" spans="1:10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</row>
    <row r="2" spans="1:10">
      <c r="A2" s="43" t="s">
        <v>36</v>
      </c>
      <c r="B2" s="44">
        <v>0.0023217437925673</v>
      </c>
      <c r="C2" s="44">
        <v>0.00248985151282703</v>
      </c>
      <c r="D2" s="44">
        <v>0.0033207266255306</v>
      </c>
      <c r="E2" s="44">
        <v>0.0028660247383545</v>
      </c>
      <c r="F2" s="44">
        <v>0.00318758952561783</v>
      </c>
      <c r="G2" s="44">
        <v>0.00399531971689284</v>
      </c>
      <c r="H2" s="44">
        <v>0.00341471824455949</v>
      </c>
      <c r="I2" s="44">
        <v>0.00414638242446852</v>
      </c>
      <c r="J2" s="44">
        <v>0.00333825490147036</v>
      </c>
    </row>
    <row r="3" spans="1:10">
      <c r="A3" s="43" t="s">
        <v>37</v>
      </c>
      <c r="B3" s="44">
        <v>0.00219867855270132</v>
      </c>
      <c r="C3" s="44">
        <v>0.00268769874693979</v>
      </c>
      <c r="D3" s="44">
        <v>0.00176460141374559</v>
      </c>
      <c r="E3" s="44">
        <v>0.00218191402527306</v>
      </c>
      <c r="F3" s="44">
        <v>0.00326156203889252</v>
      </c>
      <c r="G3" s="44">
        <v>0.00389446055565925</v>
      </c>
      <c r="H3" s="44">
        <v>0.00488321408704502</v>
      </c>
      <c r="I3" s="44">
        <v>0.00351087019182093</v>
      </c>
      <c r="J3" s="44">
        <v>0.00367068879536233</v>
      </c>
    </row>
    <row r="4" spans="1:10">
      <c r="A4" s="43" t="s">
        <v>38</v>
      </c>
      <c r="B4" s="44">
        <v>0.000405756914669447</v>
      </c>
      <c r="C4" s="44">
        <v>0.000477856312172994</v>
      </c>
      <c r="D4" s="44">
        <v>0.0010099712119274</v>
      </c>
      <c r="E4" s="44">
        <v>0.000468513103467133</v>
      </c>
      <c r="F4" s="44">
        <v>0.000445257834105963</v>
      </c>
      <c r="G4" s="44">
        <v>0.00101999738449754</v>
      </c>
      <c r="H4" s="44">
        <v>0.000995623470478656</v>
      </c>
      <c r="I4" s="44">
        <v>0.000720054053467154</v>
      </c>
      <c r="J4" s="44">
        <v>0.000899534198392282</v>
      </c>
    </row>
    <row r="5" spans="1:10">
      <c r="A5" s="43" t="s">
        <v>39</v>
      </c>
      <c r="B5" s="44">
        <v>0.000341039752314021</v>
      </c>
      <c r="C5" s="44">
        <v>0.000175577360322268</v>
      </c>
      <c r="D5" s="44">
        <v>0.000530211469599035</v>
      </c>
      <c r="E5" s="44">
        <v>0.000427232598206989</v>
      </c>
      <c r="F5" s="44">
        <v>0.000348074293455025</v>
      </c>
      <c r="G5" s="44">
        <v>0.000890006847157825</v>
      </c>
      <c r="H5" s="44">
        <v>0.000421999510177286</v>
      </c>
      <c r="I5" s="44">
        <v>0.000177449962599529</v>
      </c>
      <c r="J5" s="44">
        <v>0.000418348909459495</v>
      </c>
    </row>
    <row r="6" spans="1:10">
      <c r="A6" s="43" t="s">
        <v>40</v>
      </c>
      <c r="B6" s="44">
        <v>0.0032735023788623</v>
      </c>
      <c r="C6" s="44">
        <v>0.00370744039546636</v>
      </c>
      <c r="D6" s="44">
        <v>0.00358643201916512</v>
      </c>
      <c r="E6" s="44">
        <v>0.00379217294094898</v>
      </c>
      <c r="F6" s="44">
        <v>0.00433402757904134</v>
      </c>
      <c r="G6" s="44">
        <v>0.0064203123340378</v>
      </c>
      <c r="H6" s="44">
        <v>0.00614798640126061</v>
      </c>
      <c r="I6" s="44">
        <v>0.00313426419882797</v>
      </c>
      <c r="J6" s="44">
        <v>0.00493447081742388</v>
      </c>
    </row>
    <row r="7" spans="1:10">
      <c r="A7" s="43" t="s">
        <v>41</v>
      </c>
      <c r="B7" s="44">
        <v>0.000911186386776082</v>
      </c>
      <c r="C7" s="44">
        <v>0.00128803089804344</v>
      </c>
      <c r="D7" s="44">
        <v>0.000556236101922401</v>
      </c>
      <c r="E7" s="44">
        <v>5.7e-5</v>
      </c>
      <c r="F7" s="44">
        <v>0.00132024184266863</v>
      </c>
      <c r="G7" s="44">
        <v>0.00116204732243569</v>
      </c>
      <c r="H7" s="44">
        <v>0.00175020353849934</v>
      </c>
      <c r="I7" s="44">
        <v>0.000856504846039317</v>
      </c>
      <c r="J7" s="44">
        <v>0.000979331970212489</v>
      </c>
    </row>
    <row r="8" spans="1:10">
      <c r="A8" s="43" t="s">
        <v>42</v>
      </c>
      <c r="B8" s="44">
        <v>0.00523444950200213</v>
      </c>
      <c r="C8" s="44">
        <v>0.00420889400246915</v>
      </c>
      <c r="D8" s="44">
        <v>0.00480559388214582</v>
      </c>
      <c r="E8" s="44">
        <v>0.00510747924992284</v>
      </c>
      <c r="F8" s="44">
        <v>0.00633074504748048</v>
      </c>
      <c r="G8" s="44">
        <v>0.00886930586552143</v>
      </c>
      <c r="H8" s="44">
        <v>0.0104012950689926</v>
      </c>
      <c r="I8" s="44">
        <v>0.0101456276244248</v>
      </c>
      <c r="J8" s="44">
        <v>0.00910100770841005</v>
      </c>
    </row>
    <row r="9" spans="1:10">
      <c r="A9" s="43" t="s">
        <v>43</v>
      </c>
      <c r="B9" s="44">
        <v>0.0146863572798926</v>
      </c>
      <c r="C9" s="44">
        <v>0.015035349228241</v>
      </c>
      <c r="D9" s="44">
        <v>0.015573772724036</v>
      </c>
      <c r="E9" s="44">
        <v>0.0148433366561735</v>
      </c>
      <c r="F9" s="44">
        <v>0.0192274981612618</v>
      </c>
      <c r="G9" s="44">
        <v>0.0262514500262024</v>
      </c>
      <c r="H9" s="44">
        <v>0.028015040321013</v>
      </c>
      <c r="I9" s="44">
        <v>0.0226911533016482</v>
      </c>
      <c r="J9" s="44">
        <v>0.0233416373007309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39"/>
  <sheetViews>
    <sheetView topLeftCell="A25" workbookViewId="0">
      <selection activeCell="E31" sqref="E31"/>
    </sheetView>
  </sheetViews>
  <sheetFormatPr defaultColWidth="8.87692307692308" defaultRowHeight="15.5"/>
  <cols>
    <col min="1" max="1" width="18.6461538461538" style="1" customWidth="1"/>
    <col min="2" max="2" width="13" customWidth="1"/>
  </cols>
  <sheetData>
    <row r="1" s="1" customFormat="1" spans="1:12">
      <c r="A1" s="33" t="s">
        <v>44</v>
      </c>
      <c r="B1" s="33" t="s">
        <v>36</v>
      </c>
      <c r="C1" s="33" t="s">
        <v>45</v>
      </c>
      <c r="D1" s="33" t="s">
        <v>38</v>
      </c>
      <c r="E1" s="33" t="s">
        <v>39</v>
      </c>
      <c r="F1" s="33" t="s">
        <v>41</v>
      </c>
      <c r="G1" s="33" t="s">
        <v>46</v>
      </c>
      <c r="H1" s="33" t="s">
        <v>47</v>
      </c>
      <c r="I1" s="33" t="s">
        <v>48</v>
      </c>
      <c r="J1" s="33" t="s">
        <v>49</v>
      </c>
      <c r="K1" s="33" t="s">
        <v>50</v>
      </c>
      <c r="L1" s="33" t="s">
        <v>51</v>
      </c>
    </row>
    <row r="2" spans="1:12">
      <c r="A2" s="33" t="s">
        <v>36</v>
      </c>
      <c r="B2" s="41">
        <v>1</v>
      </c>
      <c r="C2" s="41">
        <v>0.666666666666667</v>
      </c>
      <c r="D2" s="41">
        <v>0.716666666666667</v>
      </c>
      <c r="E2" s="41">
        <v>0.333333333333333</v>
      </c>
      <c r="F2" s="41">
        <v>0.1</v>
      </c>
      <c r="G2" s="41">
        <v>0.75</v>
      </c>
      <c r="H2" s="41">
        <v>0.416666666666667</v>
      </c>
      <c r="I2" s="41">
        <v>-0.816666666666667</v>
      </c>
      <c r="J2" s="41">
        <v>0.283333333333333</v>
      </c>
      <c r="K2" s="41">
        <v>-0.133333333333333</v>
      </c>
      <c r="L2" s="41">
        <v>0.133333333333333</v>
      </c>
    </row>
    <row r="3" spans="1:12">
      <c r="A3" s="33" t="s">
        <v>45</v>
      </c>
      <c r="B3" s="41">
        <v>0.666666666666667</v>
      </c>
      <c r="C3" s="41">
        <v>1</v>
      </c>
      <c r="D3" s="41">
        <v>0.416666666666667</v>
      </c>
      <c r="E3" s="41">
        <v>0.183333333333333</v>
      </c>
      <c r="F3" s="41">
        <v>0.683333333333333</v>
      </c>
      <c r="G3" s="41">
        <v>0.833333333333333</v>
      </c>
      <c r="H3" s="41">
        <v>0.85</v>
      </c>
      <c r="I3" s="41">
        <v>-0.8</v>
      </c>
      <c r="J3" s="41">
        <v>0.75</v>
      </c>
      <c r="K3" s="41">
        <v>0.316666666666667</v>
      </c>
      <c r="L3" s="41">
        <v>0.2</v>
      </c>
    </row>
    <row r="4" spans="1:12">
      <c r="A4" s="33" t="s">
        <v>38</v>
      </c>
      <c r="B4" s="41">
        <v>0.716666666666667</v>
      </c>
      <c r="C4" s="41">
        <v>0.416666666666667</v>
      </c>
      <c r="D4" s="41">
        <v>1</v>
      </c>
      <c r="E4" s="41">
        <v>0.583333333333333</v>
      </c>
      <c r="F4" s="41">
        <v>0.0666666666666667</v>
      </c>
      <c r="G4" s="41">
        <v>0.283333333333333</v>
      </c>
      <c r="H4" s="41">
        <v>0.166666666666667</v>
      </c>
      <c r="I4" s="41">
        <v>-0.383333333333333</v>
      </c>
      <c r="J4" s="41">
        <v>0.316666666666667</v>
      </c>
      <c r="K4" s="41">
        <v>0</v>
      </c>
      <c r="L4" s="41">
        <v>0.483333333333333</v>
      </c>
    </row>
    <row r="5" spans="1:12">
      <c r="A5" s="33" t="s">
        <v>39</v>
      </c>
      <c r="B5" s="41">
        <v>0.333333333333333</v>
      </c>
      <c r="C5" s="41">
        <v>0.183333333333333</v>
      </c>
      <c r="D5" s="41">
        <v>0.583333333333333</v>
      </c>
      <c r="E5" s="41">
        <v>1</v>
      </c>
      <c r="F5" s="41">
        <v>-0.166666666666667</v>
      </c>
      <c r="G5" s="41">
        <v>0.2</v>
      </c>
      <c r="H5" s="41">
        <v>0.266666666666667</v>
      </c>
      <c r="I5" s="41">
        <v>-0.116666666666667</v>
      </c>
      <c r="J5" s="41">
        <v>0.1</v>
      </c>
      <c r="K5" s="41">
        <v>0.0333333333333333</v>
      </c>
      <c r="L5" s="41">
        <v>0.333333333333333</v>
      </c>
    </row>
    <row r="6" spans="1:12">
      <c r="A6" s="33" t="s">
        <v>41</v>
      </c>
      <c r="B6" s="41">
        <v>0.1</v>
      </c>
      <c r="C6" s="41">
        <v>0.683333333333333</v>
      </c>
      <c r="D6" s="41">
        <v>0.0666666666666667</v>
      </c>
      <c r="E6" s="41">
        <v>-0.166666666666667</v>
      </c>
      <c r="F6" s="41">
        <v>1</v>
      </c>
      <c r="G6" s="41">
        <v>0.35</v>
      </c>
      <c r="H6" s="41">
        <v>0.683333333333333</v>
      </c>
      <c r="I6" s="41">
        <v>-0.333333333333333</v>
      </c>
      <c r="J6" s="41">
        <v>0.766666666666667</v>
      </c>
      <c r="K6" s="41">
        <v>0.633333333333333</v>
      </c>
      <c r="L6" s="41">
        <v>0.4</v>
      </c>
    </row>
    <row r="7" spans="1:12">
      <c r="A7" s="33" t="s">
        <v>46</v>
      </c>
      <c r="B7" s="41">
        <v>0.75</v>
      </c>
      <c r="C7" s="41">
        <v>0.833333333333333</v>
      </c>
      <c r="D7" s="41">
        <v>0.283333333333333</v>
      </c>
      <c r="E7" s="41">
        <v>0.2</v>
      </c>
      <c r="F7" s="41">
        <v>0.35</v>
      </c>
      <c r="G7" s="41">
        <v>1</v>
      </c>
      <c r="H7" s="41">
        <v>0.766666666666667</v>
      </c>
      <c r="I7" s="41">
        <v>-0.8</v>
      </c>
      <c r="J7" s="41">
        <v>0.316666666666667</v>
      </c>
      <c r="K7" s="41">
        <v>0.0166666666666667</v>
      </c>
      <c r="L7" s="41">
        <v>0.0166666666666667</v>
      </c>
    </row>
    <row r="8" spans="1:12">
      <c r="A8" s="33" t="s">
        <v>47</v>
      </c>
      <c r="B8" s="41">
        <v>0.416666666666667</v>
      </c>
      <c r="C8" s="41">
        <v>0.85</v>
      </c>
      <c r="D8" s="41">
        <v>0.166666666666667</v>
      </c>
      <c r="E8" s="41">
        <v>0.266666666666667</v>
      </c>
      <c r="F8" s="41">
        <v>0.683333333333333</v>
      </c>
      <c r="G8" s="41">
        <v>0.766666666666667</v>
      </c>
      <c r="H8" s="41">
        <v>1</v>
      </c>
      <c r="I8" s="41">
        <v>-0.483333333333333</v>
      </c>
      <c r="J8" s="41">
        <v>0.666666666666667</v>
      </c>
      <c r="K8" s="41">
        <v>0.616666666666667</v>
      </c>
      <c r="L8" s="41">
        <v>0.383333333333333</v>
      </c>
    </row>
    <row r="9" spans="1:12">
      <c r="A9" s="33" t="s">
        <v>48</v>
      </c>
      <c r="B9" s="41">
        <v>-0.816666666666667</v>
      </c>
      <c r="C9" s="41">
        <v>-0.8</v>
      </c>
      <c r="D9" s="41">
        <v>-0.383333333333333</v>
      </c>
      <c r="E9" s="41">
        <v>-0.116666666666667</v>
      </c>
      <c r="F9" s="41">
        <v>-0.333333333333333</v>
      </c>
      <c r="G9" s="41">
        <v>-0.8</v>
      </c>
      <c r="H9" s="41">
        <v>-0.483333333333333</v>
      </c>
      <c r="I9" s="41">
        <v>1</v>
      </c>
      <c r="J9" s="41">
        <v>-0.433333333333333</v>
      </c>
      <c r="K9" s="41">
        <v>0.216666666666667</v>
      </c>
      <c r="L9" s="41">
        <v>0.183333333333333</v>
      </c>
    </row>
    <row r="10" spans="1:12">
      <c r="A10" s="33" t="s">
        <v>49</v>
      </c>
      <c r="B10" s="41">
        <v>0.283333333333333</v>
      </c>
      <c r="C10" s="41">
        <v>0.75</v>
      </c>
      <c r="D10" s="41">
        <v>0.316666666666667</v>
      </c>
      <c r="E10" s="41">
        <v>0.1</v>
      </c>
      <c r="F10" s="41">
        <v>0.766666666666667</v>
      </c>
      <c r="G10" s="41">
        <v>0.316666666666667</v>
      </c>
      <c r="H10" s="41">
        <v>0.666666666666667</v>
      </c>
      <c r="I10" s="41">
        <v>-0.433333333333333</v>
      </c>
      <c r="J10" s="41">
        <v>1</v>
      </c>
      <c r="K10" s="41">
        <v>0.65</v>
      </c>
      <c r="L10" s="41">
        <v>0.483333333333333</v>
      </c>
    </row>
    <row r="11" spans="1:12">
      <c r="A11" s="33" t="s">
        <v>50</v>
      </c>
      <c r="B11" s="41">
        <v>-0.133333333333333</v>
      </c>
      <c r="C11" s="41">
        <v>0.316666666666667</v>
      </c>
      <c r="D11" s="41">
        <v>0</v>
      </c>
      <c r="E11" s="41">
        <v>0.0333333333333333</v>
      </c>
      <c r="F11" s="41">
        <v>0.633333333333333</v>
      </c>
      <c r="G11" s="41">
        <v>0.0166666666666667</v>
      </c>
      <c r="H11" s="41">
        <v>0.616666666666667</v>
      </c>
      <c r="I11" s="41">
        <v>0.216666666666667</v>
      </c>
      <c r="J11" s="41">
        <v>0.65</v>
      </c>
      <c r="K11" s="41">
        <v>1</v>
      </c>
      <c r="L11" s="41">
        <v>0.7</v>
      </c>
    </row>
    <row r="12" spans="1:12">
      <c r="A12" s="33" t="s">
        <v>51</v>
      </c>
      <c r="B12" s="41">
        <v>0.133333333333333</v>
      </c>
      <c r="C12" s="41">
        <v>0.2</v>
      </c>
      <c r="D12" s="41">
        <v>0.483333333333333</v>
      </c>
      <c r="E12" s="41">
        <v>0.333333333333333</v>
      </c>
      <c r="F12" s="41">
        <v>0.4</v>
      </c>
      <c r="G12" s="41">
        <v>0.0166666666666667</v>
      </c>
      <c r="H12" s="41">
        <v>0.383333333333333</v>
      </c>
      <c r="I12" s="41">
        <v>0.183333333333333</v>
      </c>
      <c r="J12" s="41">
        <v>0.483333333333333</v>
      </c>
      <c r="K12" s="41">
        <v>0.7</v>
      </c>
      <c r="L12" s="41">
        <v>1</v>
      </c>
    </row>
    <row r="13" spans="1:12">
      <c r="A13" s="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="1" customFormat="1" spans="1:12">
      <c r="A14" s="33" t="s">
        <v>52</v>
      </c>
      <c r="B14" s="33" t="s">
        <v>36</v>
      </c>
      <c r="C14" s="33" t="s">
        <v>45</v>
      </c>
      <c r="D14" s="33" t="s">
        <v>38</v>
      </c>
      <c r="E14" s="33" t="s">
        <v>39</v>
      </c>
      <c r="F14" s="33" t="s">
        <v>41</v>
      </c>
      <c r="G14" s="33" t="s">
        <v>46</v>
      </c>
      <c r="H14" s="33" t="s">
        <v>47</v>
      </c>
      <c r="I14" s="33" t="s">
        <v>48</v>
      </c>
      <c r="J14" s="33" t="s">
        <v>49</v>
      </c>
      <c r="K14" s="33" t="s">
        <v>50</v>
      </c>
      <c r="L14" s="33" t="s">
        <v>51</v>
      </c>
    </row>
    <row r="15" spans="1:12">
      <c r="A15" s="33" t="s">
        <v>36</v>
      </c>
      <c r="B15" s="41">
        <v>0</v>
      </c>
      <c r="C15" s="41">
        <v>0.120338967179144</v>
      </c>
      <c r="D15" s="41">
        <v>0.0436832845539676</v>
      </c>
      <c r="E15" s="41">
        <v>0.760655267127392</v>
      </c>
      <c r="F15" s="41">
        <v>0.747511504579352</v>
      </c>
      <c r="G15" s="41">
        <v>0.0144493335217007</v>
      </c>
      <c r="H15" s="41">
        <v>0.334330013054421</v>
      </c>
      <c r="I15" s="41">
        <v>0.034807692026109</v>
      </c>
      <c r="J15" s="41">
        <v>0.41610205253506</v>
      </c>
      <c r="K15" s="41">
        <v>0.759990906816115</v>
      </c>
      <c r="L15" s="41">
        <v>0.784177159425791</v>
      </c>
    </row>
    <row r="16" spans="1:12">
      <c r="A16" s="33" t="s">
        <v>45</v>
      </c>
      <c r="B16" s="41">
        <v>0.120338967179144</v>
      </c>
      <c r="C16" s="41">
        <v>0</v>
      </c>
      <c r="D16" s="41">
        <v>0.197488326816231</v>
      </c>
      <c r="E16" s="41">
        <v>0.552388184875112</v>
      </c>
      <c r="F16" s="41">
        <v>0.0243429530751388</v>
      </c>
      <c r="G16" s="41">
        <v>0.00181363135919808</v>
      </c>
      <c r="H16" s="41">
        <v>0.00402998280460581</v>
      </c>
      <c r="I16" s="41">
        <v>0.00236269798285087</v>
      </c>
      <c r="J16" s="41">
        <v>0.0200617010196581</v>
      </c>
      <c r="K16" s="41">
        <v>0.518834010258741</v>
      </c>
      <c r="L16" s="41">
        <v>0.923412615478815</v>
      </c>
    </row>
    <row r="17" spans="1:12">
      <c r="A17" s="33" t="s">
        <v>38</v>
      </c>
      <c r="B17" s="41">
        <v>0.0436832845539676</v>
      </c>
      <c r="C17" s="41">
        <v>0.197488326816231</v>
      </c>
      <c r="D17" s="41">
        <v>0</v>
      </c>
      <c r="E17" s="41">
        <v>0.374487112785651</v>
      </c>
      <c r="F17" s="41">
        <v>0.556967530149194</v>
      </c>
      <c r="G17" s="41">
        <v>0.0950549089761858</v>
      </c>
      <c r="H17" s="41">
        <v>0.36981317453613</v>
      </c>
      <c r="I17" s="41">
        <v>0.179880752046484</v>
      </c>
      <c r="J17" s="41">
        <v>0.363402091166676</v>
      </c>
      <c r="K17" s="41">
        <v>0.902859485243107</v>
      </c>
      <c r="L17" s="41">
        <v>0.496855681265121</v>
      </c>
    </row>
    <row r="18" spans="1:12">
      <c r="A18" s="33" t="s">
        <v>39</v>
      </c>
      <c r="B18" s="41">
        <v>0.760655267127392</v>
      </c>
      <c r="C18" s="41">
        <v>0.552388184875112</v>
      </c>
      <c r="D18" s="41">
        <v>0.374487112785651</v>
      </c>
      <c r="E18" s="41">
        <v>0</v>
      </c>
      <c r="F18" s="41">
        <v>0.987958157238008</v>
      </c>
      <c r="G18" s="41">
        <v>0.401932745406424</v>
      </c>
      <c r="H18" s="41">
        <v>0.903698950610857</v>
      </c>
      <c r="I18" s="41">
        <v>0.240194741546985</v>
      </c>
      <c r="J18" s="41">
        <v>0.770110157191141</v>
      </c>
      <c r="K18" s="41">
        <v>0.374165006423806</v>
      </c>
      <c r="L18" s="41">
        <v>0.307291425180355</v>
      </c>
    </row>
    <row r="19" spans="1:12">
      <c r="A19" s="33" t="s">
        <v>41</v>
      </c>
      <c r="B19" s="41">
        <v>0.747511504579352</v>
      </c>
      <c r="C19" s="41">
        <v>0.0243429530751388</v>
      </c>
      <c r="D19" s="41">
        <v>0.556967530149194</v>
      </c>
      <c r="E19" s="41">
        <v>0.987958157238008</v>
      </c>
      <c r="F19" s="41">
        <v>0</v>
      </c>
      <c r="G19" s="41">
        <v>0.231475752112487</v>
      </c>
      <c r="H19" s="41">
        <v>0.0756780942026131</v>
      </c>
      <c r="I19" s="41">
        <v>0.194860118497187</v>
      </c>
      <c r="J19" s="41">
        <v>0.0441091566298621</v>
      </c>
      <c r="K19" s="41">
        <v>0.227376326437163</v>
      </c>
      <c r="L19" s="41">
        <v>0.594999984883011</v>
      </c>
    </row>
    <row r="20" spans="1:12">
      <c r="A20" s="33" t="s">
        <v>46</v>
      </c>
      <c r="B20" s="41">
        <v>0.0144493335217007</v>
      </c>
      <c r="C20" s="41">
        <v>0.00181363135919808</v>
      </c>
      <c r="D20" s="41">
        <v>0.0950549089761858</v>
      </c>
      <c r="E20" s="41">
        <v>0.401932745406424</v>
      </c>
      <c r="F20" s="41">
        <v>0.231475752112487</v>
      </c>
      <c r="G20" s="41">
        <v>0</v>
      </c>
      <c r="H20" s="41">
        <v>0.0419817384466602</v>
      </c>
      <c r="I20" s="41">
        <v>0.00014877661908927</v>
      </c>
      <c r="J20" s="41">
        <v>0.235073746572586</v>
      </c>
      <c r="K20" s="41">
        <v>0.829382131700628</v>
      </c>
      <c r="L20" s="41">
        <v>0.528847416366832</v>
      </c>
    </row>
    <row r="21" spans="1:12">
      <c r="A21" s="33" t="s">
        <v>47</v>
      </c>
      <c r="B21" s="41">
        <v>0.334330013054421</v>
      </c>
      <c r="C21" s="41">
        <v>0.00402998280460581</v>
      </c>
      <c r="D21" s="41">
        <v>0.36981317453613</v>
      </c>
      <c r="E21" s="41">
        <v>0.903698950610857</v>
      </c>
      <c r="F21" s="41">
        <v>0.0756780942026131</v>
      </c>
      <c r="G21" s="41">
        <v>0.0419817384466602</v>
      </c>
      <c r="H21" s="41">
        <v>0</v>
      </c>
      <c r="I21" s="41">
        <v>0.126789206812935</v>
      </c>
      <c r="J21" s="41">
        <v>0.0229817050334845</v>
      </c>
      <c r="K21" s="41">
        <v>0.112715023671442</v>
      </c>
      <c r="L21" s="41">
        <v>0.347744307119351</v>
      </c>
    </row>
    <row r="22" spans="1:12">
      <c r="A22" s="33" t="s">
        <v>48</v>
      </c>
      <c r="B22" s="41">
        <v>0.034807692026109</v>
      </c>
      <c r="C22" s="41">
        <v>0.00236269798285087</v>
      </c>
      <c r="D22" s="41">
        <v>0.179880752046484</v>
      </c>
      <c r="E22" s="41">
        <v>0.240194741546985</v>
      </c>
      <c r="F22" s="41">
        <v>0.194860118497187</v>
      </c>
      <c r="G22" s="41">
        <v>0.00014877661908927</v>
      </c>
      <c r="H22" s="41">
        <v>0.126789206812935</v>
      </c>
      <c r="I22" s="41">
        <v>0</v>
      </c>
      <c r="J22" s="41">
        <v>0.289973772740828</v>
      </c>
      <c r="K22" s="41">
        <v>0.566124317224603</v>
      </c>
      <c r="L22" s="41">
        <v>0.308504442325754</v>
      </c>
    </row>
    <row r="23" spans="1:12">
      <c r="A23" s="33" t="s">
        <v>49</v>
      </c>
      <c r="B23" s="41">
        <v>0.41610205253506</v>
      </c>
      <c r="C23" s="41">
        <v>0.0200617010196581</v>
      </c>
      <c r="D23" s="41">
        <v>0.363402091166676</v>
      </c>
      <c r="E23" s="41">
        <v>0.770110157191141</v>
      </c>
      <c r="F23" s="41">
        <v>0.0441091566298621</v>
      </c>
      <c r="G23" s="41">
        <v>0.235073746572586</v>
      </c>
      <c r="H23" s="41">
        <v>0.0229817050334845</v>
      </c>
      <c r="I23" s="41">
        <v>0.289973772740828</v>
      </c>
      <c r="J23" s="41">
        <v>0</v>
      </c>
      <c r="K23" s="41">
        <v>0.0290643351431682</v>
      </c>
      <c r="L23" s="41">
        <v>0.141573475424464</v>
      </c>
    </row>
    <row r="24" spans="1:12">
      <c r="A24" s="33" t="s">
        <v>50</v>
      </c>
      <c r="B24" s="41">
        <v>0.759990906816115</v>
      </c>
      <c r="C24" s="41">
        <v>0.518834010258741</v>
      </c>
      <c r="D24" s="41">
        <v>0.902859485243107</v>
      </c>
      <c r="E24" s="41">
        <v>0.374165006423806</v>
      </c>
      <c r="F24" s="41">
        <v>0.227376326437163</v>
      </c>
      <c r="G24" s="41">
        <v>0.829382131700628</v>
      </c>
      <c r="H24" s="41">
        <v>0.112715023671442</v>
      </c>
      <c r="I24" s="41">
        <v>0.566124317224603</v>
      </c>
      <c r="J24" s="41">
        <v>0.0290643351431682</v>
      </c>
      <c r="K24" s="41">
        <v>0</v>
      </c>
      <c r="L24" s="41">
        <v>0.0242801247709876</v>
      </c>
    </row>
    <row r="25" spans="1:12">
      <c r="A25" s="33" t="s">
        <v>51</v>
      </c>
      <c r="B25" s="41">
        <v>0.784177159425791</v>
      </c>
      <c r="C25" s="41">
        <v>0.923412615478815</v>
      </c>
      <c r="D25" s="41">
        <v>0.496855681265121</v>
      </c>
      <c r="E25" s="41">
        <v>0.307291425180355</v>
      </c>
      <c r="F25" s="41">
        <v>0.594999984883011</v>
      </c>
      <c r="G25" s="41">
        <v>0.528847416366832</v>
      </c>
      <c r="H25" s="41">
        <v>0.347744307119351</v>
      </c>
      <c r="I25" s="41">
        <v>0.308504442325754</v>
      </c>
      <c r="J25" s="41">
        <v>0.141573475424464</v>
      </c>
      <c r="K25" s="41">
        <v>0.0242801247709876</v>
      </c>
      <c r="L25" s="41">
        <v>0</v>
      </c>
    </row>
    <row r="28" spans="1:4">
      <c r="A28" s="3" t="s">
        <v>53</v>
      </c>
      <c r="B28" s="38" t="s">
        <v>54</v>
      </c>
      <c r="C28" s="39" t="s">
        <v>44</v>
      </c>
      <c r="D28" s="42"/>
    </row>
    <row r="29" spans="1:3">
      <c r="A29" s="3" t="s">
        <v>55</v>
      </c>
      <c r="B29" s="12" t="s">
        <v>46</v>
      </c>
      <c r="C29" s="41">
        <v>0.9</v>
      </c>
    </row>
    <row r="30" spans="1:3">
      <c r="A30" s="3" t="s">
        <v>55</v>
      </c>
      <c r="B30" s="12" t="s">
        <v>36</v>
      </c>
      <c r="C30" s="41">
        <v>0.866667</v>
      </c>
    </row>
    <row r="31" spans="1:3">
      <c r="A31" s="3" t="s">
        <v>55</v>
      </c>
      <c r="B31" s="12" t="s">
        <v>45</v>
      </c>
      <c r="C31" s="41">
        <v>0.8</v>
      </c>
    </row>
    <row r="32" spans="1:4">
      <c r="A32" s="3" t="s">
        <v>55</v>
      </c>
      <c r="B32" s="12" t="s">
        <v>41</v>
      </c>
      <c r="C32" s="41">
        <v>0.333333</v>
      </c>
      <c r="D32" s="36"/>
    </row>
    <row r="33" spans="1:4">
      <c r="A33" s="3" t="s">
        <v>55</v>
      </c>
      <c r="B33" s="12" t="s">
        <v>39</v>
      </c>
      <c r="C33" s="41">
        <v>0.283333</v>
      </c>
      <c r="D33" s="36"/>
    </row>
    <row r="34" spans="1:4">
      <c r="A34" s="3" t="s">
        <v>55</v>
      </c>
      <c r="B34" s="12" t="s">
        <v>47</v>
      </c>
      <c r="C34" s="41">
        <v>0.616667</v>
      </c>
      <c r="D34" s="36"/>
    </row>
    <row r="35" spans="1:4">
      <c r="A35" s="3" t="s">
        <v>55</v>
      </c>
      <c r="B35" s="12" t="s">
        <v>49</v>
      </c>
      <c r="C35" s="41">
        <v>0.416667</v>
      </c>
      <c r="D35" s="36"/>
    </row>
    <row r="36" spans="1:3">
      <c r="A36" s="3" t="s">
        <v>55</v>
      </c>
      <c r="B36" s="12" t="s">
        <v>51</v>
      </c>
      <c r="C36" s="41">
        <v>0.133333</v>
      </c>
    </row>
    <row r="37" spans="1:3">
      <c r="A37" s="3" t="s">
        <v>55</v>
      </c>
      <c r="B37" s="12" t="s">
        <v>50</v>
      </c>
      <c r="C37" s="41">
        <v>-0.083333</v>
      </c>
    </row>
    <row r="38" spans="1:3">
      <c r="A38" s="3" t="s">
        <v>55</v>
      </c>
      <c r="B38" s="12" t="s">
        <v>56</v>
      </c>
      <c r="C38" s="41">
        <v>0.55</v>
      </c>
    </row>
    <row r="39" spans="1:3">
      <c r="A39" s="3" t="s">
        <v>55</v>
      </c>
      <c r="B39" s="12" t="s">
        <v>48</v>
      </c>
      <c r="C39" s="41">
        <v>-0.9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66"/>
  <sheetViews>
    <sheetView zoomScale="125" zoomScaleNormal="125" topLeftCell="A58" workbookViewId="0">
      <selection activeCell="E5" sqref="E5"/>
    </sheetView>
  </sheetViews>
  <sheetFormatPr defaultColWidth="8.87692307692308" defaultRowHeight="15.5" outlineLevelCol="4"/>
  <cols>
    <col min="1" max="1" width="27.0615384615385" customWidth="1"/>
    <col min="2" max="2" width="11.9384615384615" customWidth="1"/>
    <col min="3" max="3" width="18.5307692307692" customWidth="1"/>
    <col min="4" max="4" width="12.2307692307692" customWidth="1"/>
    <col min="5" max="5" width="15" customWidth="1"/>
  </cols>
  <sheetData>
    <row r="1" spans="1:5">
      <c r="A1" s="39" t="s">
        <v>57</v>
      </c>
      <c r="B1" s="39" t="s">
        <v>58</v>
      </c>
      <c r="C1" s="38" t="s">
        <v>59</v>
      </c>
      <c r="D1" s="39" t="s">
        <v>60</v>
      </c>
      <c r="E1" s="39" t="s">
        <v>61</v>
      </c>
    </row>
    <row r="2" spans="1:5">
      <c r="A2" s="34" t="s">
        <v>62</v>
      </c>
      <c r="B2" s="34" t="s">
        <v>63</v>
      </c>
      <c r="C2" s="12" t="s">
        <v>64</v>
      </c>
      <c r="D2" s="40">
        <v>0</v>
      </c>
      <c r="E2" s="40">
        <f t="shared" ref="E2:E65" si="0">LOG(D2+1,10)</f>
        <v>0</v>
      </c>
    </row>
    <row r="3" spans="1:5">
      <c r="A3" s="34" t="s">
        <v>65</v>
      </c>
      <c r="B3" s="34" t="s">
        <v>66</v>
      </c>
      <c r="C3" s="12" t="s">
        <v>67</v>
      </c>
      <c r="D3" s="40">
        <v>0</v>
      </c>
      <c r="E3" s="40">
        <f t="shared" si="0"/>
        <v>0</v>
      </c>
    </row>
    <row r="4" spans="1:5">
      <c r="A4" s="34" t="s">
        <v>68</v>
      </c>
      <c r="B4" s="34" t="s">
        <v>66</v>
      </c>
      <c r="C4" s="12" t="s">
        <v>67</v>
      </c>
      <c r="D4" s="40">
        <v>0</v>
      </c>
      <c r="E4" s="40">
        <f t="shared" si="0"/>
        <v>0</v>
      </c>
    </row>
    <row r="5" spans="1:5">
      <c r="A5" s="34" t="s">
        <v>69</v>
      </c>
      <c r="B5" s="34" t="s">
        <v>70</v>
      </c>
      <c r="C5" s="12" t="s">
        <v>71</v>
      </c>
      <c r="D5" s="40">
        <v>0</v>
      </c>
      <c r="E5" s="40">
        <f t="shared" si="0"/>
        <v>0</v>
      </c>
    </row>
    <row r="6" spans="1:5">
      <c r="A6" s="34" t="s">
        <v>72</v>
      </c>
      <c r="B6" s="34" t="s">
        <v>70</v>
      </c>
      <c r="C6" s="12" t="s">
        <v>71</v>
      </c>
      <c r="D6" s="40">
        <v>2446.50361376187</v>
      </c>
      <c r="E6" s="40">
        <f t="shared" si="0"/>
        <v>3.38872334171549</v>
      </c>
    </row>
    <row r="7" spans="1:5">
      <c r="A7" s="34" t="s">
        <v>73</v>
      </c>
      <c r="B7" s="34" t="s">
        <v>70</v>
      </c>
      <c r="C7" s="12" t="s">
        <v>74</v>
      </c>
      <c r="D7" s="40">
        <v>2253.99270892801</v>
      </c>
      <c r="E7" s="40">
        <f t="shared" si="0"/>
        <v>3.35314514201112</v>
      </c>
    </row>
    <row r="8" spans="1:5">
      <c r="A8" s="34" t="s">
        <v>75</v>
      </c>
      <c r="B8" s="34" t="s">
        <v>70</v>
      </c>
      <c r="C8" s="12" t="s">
        <v>71</v>
      </c>
      <c r="D8" s="40">
        <v>0</v>
      </c>
      <c r="E8" s="40">
        <f t="shared" si="0"/>
        <v>0</v>
      </c>
    </row>
    <row r="9" spans="1:5">
      <c r="A9" s="34" t="s">
        <v>76</v>
      </c>
      <c r="B9" s="34" t="s">
        <v>70</v>
      </c>
      <c r="C9" s="12" t="s">
        <v>71</v>
      </c>
      <c r="D9" s="40">
        <v>2079.35547182434</v>
      </c>
      <c r="E9" s="40">
        <f t="shared" si="0"/>
        <v>3.31813754951159</v>
      </c>
    </row>
    <row r="10" spans="1:5">
      <c r="A10" s="34" t="s">
        <v>77</v>
      </c>
      <c r="B10" s="34" t="s">
        <v>70</v>
      </c>
      <c r="C10" s="12" t="s">
        <v>67</v>
      </c>
      <c r="D10" s="40">
        <v>230.768439090313</v>
      </c>
      <c r="E10" s="40">
        <f t="shared" si="0"/>
        <v>2.36505429589794</v>
      </c>
    </row>
    <row r="11" spans="1:5">
      <c r="A11" s="34" t="s">
        <v>78</v>
      </c>
      <c r="B11" s="34" t="s">
        <v>70</v>
      </c>
      <c r="C11" s="12" t="s">
        <v>79</v>
      </c>
      <c r="D11" s="40">
        <v>9431.64756734881</v>
      </c>
      <c r="E11" s="40">
        <f t="shared" si="0"/>
        <v>3.97463360816765</v>
      </c>
    </row>
    <row r="12" spans="1:5">
      <c r="A12" s="34" t="s">
        <v>80</v>
      </c>
      <c r="B12" s="34" t="s">
        <v>70</v>
      </c>
      <c r="C12" s="12" t="s">
        <v>79</v>
      </c>
      <c r="D12" s="40">
        <v>360.71079497868</v>
      </c>
      <c r="E12" s="40">
        <f t="shared" si="0"/>
        <v>2.55836147013766</v>
      </c>
    </row>
    <row r="13" spans="1:5">
      <c r="A13" s="34" t="s">
        <v>81</v>
      </c>
      <c r="B13" s="34" t="s">
        <v>70</v>
      </c>
      <c r="C13" s="12" t="s">
        <v>71</v>
      </c>
      <c r="D13" s="40">
        <v>0</v>
      </c>
      <c r="E13" s="40">
        <f t="shared" si="0"/>
        <v>0</v>
      </c>
    </row>
    <row r="14" spans="1:5">
      <c r="A14" s="34" t="s">
        <v>82</v>
      </c>
      <c r="B14" s="34" t="s">
        <v>70</v>
      </c>
      <c r="C14" s="12" t="s">
        <v>71</v>
      </c>
      <c r="D14" s="40">
        <v>0</v>
      </c>
      <c r="E14" s="40">
        <f t="shared" si="0"/>
        <v>0</v>
      </c>
    </row>
    <row r="15" spans="1:5">
      <c r="A15" s="34" t="s">
        <v>83</v>
      </c>
      <c r="B15" s="34" t="s">
        <v>70</v>
      </c>
      <c r="C15" s="12" t="s">
        <v>67</v>
      </c>
      <c r="D15" s="40">
        <v>0</v>
      </c>
      <c r="E15" s="40">
        <f t="shared" si="0"/>
        <v>0</v>
      </c>
    </row>
    <row r="16" spans="1:5">
      <c r="A16" s="34" t="s">
        <v>84</v>
      </c>
      <c r="B16" s="34" t="s">
        <v>70</v>
      </c>
      <c r="C16" s="12" t="s">
        <v>71</v>
      </c>
      <c r="D16" s="40">
        <v>0</v>
      </c>
      <c r="E16" s="40">
        <f t="shared" si="0"/>
        <v>0</v>
      </c>
    </row>
    <row r="17" spans="1:5">
      <c r="A17" s="34" t="s">
        <v>85</v>
      </c>
      <c r="B17" s="34" t="s">
        <v>70</v>
      </c>
      <c r="C17" s="12" t="s">
        <v>71</v>
      </c>
      <c r="D17" s="40">
        <v>0</v>
      </c>
      <c r="E17" s="40">
        <f t="shared" si="0"/>
        <v>0</v>
      </c>
    </row>
    <row r="18" spans="1:5">
      <c r="A18" s="34" t="s">
        <v>86</v>
      </c>
      <c r="B18" s="34" t="s">
        <v>70</v>
      </c>
      <c r="C18" s="12" t="s">
        <v>67</v>
      </c>
      <c r="D18" s="40">
        <v>0</v>
      </c>
      <c r="E18" s="40">
        <f t="shared" si="0"/>
        <v>0</v>
      </c>
    </row>
    <row r="19" spans="1:5">
      <c r="A19" s="34" t="s">
        <v>87</v>
      </c>
      <c r="B19" s="34" t="s">
        <v>70</v>
      </c>
      <c r="C19" s="12" t="s">
        <v>88</v>
      </c>
      <c r="D19" s="40">
        <v>0</v>
      </c>
      <c r="E19" s="40">
        <f t="shared" si="0"/>
        <v>0</v>
      </c>
    </row>
    <row r="20" spans="1:5">
      <c r="A20" s="34" t="s">
        <v>89</v>
      </c>
      <c r="B20" s="34" t="s">
        <v>70</v>
      </c>
      <c r="C20" s="12" t="s">
        <v>79</v>
      </c>
      <c r="D20" s="40">
        <v>4203.19072111211</v>
      </c>
      <c r="E20" s="40">
        <f t="shared" si="0"/>
        <v>3.62368240936567</v>
      </c>
    </row>
    <row r="21" spans="1:5">
      <c r="A21" s="34" t="s">
        <v>90</v>
      </c>
      <c r="B21" s="34" t="s">
        <v>70</v>
      </c>
      <c r="C21" s="12" t="s">
        <v>67</v>
      </c>
      <c r="D21" s="40">
        <v>0</v>
      </c>
      <c r="E21" s="40">
        <f t="shared" si="0"/>
        <v>0</v>
      </c>
    </row>
    <row r="22" spans="1:5">
      <c r="A22" s="34" t="s">
        <v>91</v>
      </c>
      <c r="B22" s="34" t="s">
        <v>70</v>
      </c>
      <c r="C22" s="12" t="s">
        <v>79</v>
      </c>
      <c r="D22" s="40">
        <v>161488.585075538</v>
      </c>
      <c r="E22" s="40">
        <f t="shared" si="0"/>
        <v>5.20814451867904</v>
      </c>
    </row>
    <row r="23" spans="1:5">
      <c r="A23" s="34" t="s">
        <v>92</v>
      </c>
      <c r="B23" s="34" t="s">
        <v>70</v>
      </c>
      <c r="C23" s="12" t="s">
        <v>71</v>
      </c>
      <c r="D23" s="40">
        <v>75.8717483401258</v>
      </c>
      <c r="E23" s="40">
        <f t="shared" si="0"/>
        <v>1.88576675860061</v>
      </c>
    </row>
    <row r="24" spans="1:5">
      <c r="A24" s="34" t="s">
        <v>93</v>
      </c>
      <c r="B24" s="34" t="s">
        <v>70</v>
      </c>
      <c r="C24" s="12" t="s">
        <v>71</v>
      </c>
      <c r="D24" s="40">
        <v>0</v>
      </c>
      <c r="E24" s="40">
        <f t="shared" si="0"/>
        <v>0</v>
      </c>
    </row>
    <row r="25" spans="1:5">
      <c r="A25" s="34" t="s">
        <v>94</v>
      </c>
      <c r="B25" s="34" t="s">
        <v>70</v>
      </c>
      <c r="C25" s="12" t="s">
        <v>67</v>
      </c>
      <c r="D25" s="40">
        <v>0</v>
      </c>
      <c r="E25" s="40">
        <f t="shared" si="0"/>
        <v>0</v>
      </c>
    </row>
    <row r="26" spans="1:5">
      <c r="A26" s="34" t="s">
        <v>95</v>
      </c>
      <c r="B26" s="34" t="s">
        <v>70</v>
      </c>
      <c r="C26" s="12" t="s">
        <v>64</v>
      </c>
      <c r="D26" s="40">
        <v>0</v>
      </c>
      <c r="E26" s="40">
        <f t="shared" si="0"/>
        <v>0</v>
      </c>
    </row>
    <row r="27" spans="1:5">
      <c r="A27" s="34" t="s">
        <v>96</v>
      </c>
      <c r="B27" s="34" t="s">
        <v>70</v>
      </c>
      <c r="C27" s="12" t="s">
        <v>74</v>
      </c>
      <c r="D27" s="40">
        <v>0</v>
      </c>
      <c r="E27" s="40">
        <f t="shared" si="0"/>
        <v>0</v>
      </c>
    </row>
    <row r="28" spans="1:5">
      <c r="A28" s="34" t="s">
        <v>97</v>
      </c>
      <c r="B28" s="34" t="s">
        <v>70</v>
      </c>
      <c r="C28" s="12" t="s">
        <v>67</v>
      </c>
      <c r="D28" s="40">
        <v>0</v>
      </c>
      <c r="E28" s="40">
        <f t="shared" si="0"/>
        <v>0</v>
      </c>
    </row>
    <row r="29" spans="1:5">
      <c r="A29" s="34" t="s">
        <v>98</v>
      </c>
      <c r="B29" s="34" t="s">
        <v>70</v>
      </c>
      <c r="C29" s="12" t="s">
        <v>71</v>
      </c>
      <c r="D29" s="40">
        <v>0</v>
      </c>
      <c r="E29" s="40">
        <f t="shared" si="0"/>
        <v>0</v>
      </c>
    </row>
    <row r="30" spans="1:5">
      <c r="A30" s="34" t="s">
        <v>99</v>
      </c>
      <c r="B30" s="34" t="s">
        <v>70</v>
      </c>
      <c r="C30" s="12" t="s">
        <v>100</v>
      </c>
      <c r="D30" s="40">
        <v>0</v>
      </c>
      <c r="E30" s="40">
        <f t="shared" si="0"/>
        <v>0</v>
      </c>
    </row>
    <row r="31" spans="1:5">
      <c r="A31" s="34" t="s">
        <v>101</v>
      </c>
      <c r="B31" s="34" t="s">
        <v>70</v>
      </c>
      <c r="C31" s="12" t="s">
        <v>67</v>
      </c>
      <c r="D31" s="40">
        <v>0</v>
      </c>
      <c r="E31" s="40">
        <f t="shared" si="0"/>
        <v>0</v>
      </c>
    </row>
    <row r="32" spans="1:5">
      <c r="A32" s="34" t="s">
        <v>102</v>
      </c>
      <c r="B32" s="34" t="s">
        <v>70</v>
      </c>
      <c r="C32" s="12" t="s">
        <v>71</v>
      </c>
      <c r="D32" s="40">
        <v>0</v>
      </c>
      <c r="E32" s="40">
        <f t="shared" si="0"/>
        <v>0</v>
      </c>
    </row>
    <row r="33" spans="1:5">
      <c r="A33" s="34" t="s">
        <v>103</v>
      </c>
      <c r="B33" s="34" t="s">
        <v>104</v>
      </c>
      <c r="C33" s="12" t="s">
        <v>67</v>
      </c>
      <c r="D33" s="40">
        <v>202.773639125101</v>
      </c>
      <c r="E33" s="40">
        <f t="shared" si="0"/>
        <v>2.30914800144187</v>
      </c>
    </row>
    <row r="34" spans="1:5">
      <c r="A34" s="34" t="s">
        <v>105</v>
      </c>
      <c r="B34" s="34" t="s">
        <v>104</v>
      </c>
      <c r="C34" s="12" t="s">
        <v>67</v>
      </c>
      <c r="D34" s="40">
        <v>0</v>
      </c>
      <c r="E34" s="40">
        <f t="shared" si="0"/>
        <v>0</v>
      </c>
    </row>
    <row r="35" spans="1:5">
      <c r="A35" s="34" t="s">
        <v>106</v>
      </c>
      <c r="B35" s="34" t="s">
        <v>104</v>
      </c>
      <c r="C35" s="12" t="s">
        <v>107</v>
      </c>
      <c r="D35" s="40">
        <v>0</v>
      </c>
      <c r="E35" s="40">
        <f t="shared" si="0"/>
        <v>0</v>
      </c>
    </row>
    <row r="36" spans="1:5">
      <c r="A36" s="34" t="s">
        <v>108</v>
      </c>
      <c r="B36" s="34" t="s">
        <v>109</v>
      </c>
      <c r="C36" s="12" t="s">
        <v>100</v>
      </c>
      <c r="D36" s="40">
        <v>0</v>
      </c>
      <c r="E36" s="40">
        <f t="shared" si="0"/>
        <v>0</v>
      </c>
    </row>
    <row r="37" spans="1:5">
      <c r="A37" s="34" t="s">
        <v>110</v>
      </c>
      <c r="B37" s="34" t="s">
        <v>111</v>
      </c>
      <c r="C37" s="12" t="s">
        <v>71</v>
      </c>
      <c r="D37" s="40">
        <v>0</v>
      </c>
      <c r="E37" s="40">
        <f t="shared" si="0"/>
        <v>0</v>
      </c>
    </row>
    <row r="38" spans="1:5">
      <c r="A38" s="34" t="s">
        <v>112</v>
      </c>
      <c r="B38" s="34" t="s">
        <v>113</v>
      </c>
      <c r="C38" s="12" t="s">
        <v>71</v>
      </c>
      <c r="D38" s="40">
        <v>353.604111530128</v>
      </c>
      <c r="E38" s="40">
        <f t="shared" si="0"/>
        <v>2.54974376681057</v>
      </c>
    </row>
    <row r="39" spans="1:5">
      <c r="A39" s="34" t="s">
        <v>114</v>
      </c>
      <c r="B39" s="34" t="s">
        <v>113</v>
      </c>
      <c r="C39" s="12" t="s">
        <v>71</v>
      </c>
      <c r="D39" s="40">
        <v>163.663898754921</v>
      </c>
      <c r="E39" s="40">
        <f t="shared" si="0"/>
        <v>2.21659839400823</v>
      </c>
    </row>
    <row r="40" spans="1:5">
      <c r="A40" s="34" t="s">
        <v>115</v>
      </c>
      <c r="B40" s="34" t="s">
        <v>113</v>
      </c>
      <c r="C40" s="12" t="s">
        <v>71</v>
      </c>
      <c r="D40" s="40">
        <v>0</v>
      </c>
      <c r="E40" s="40">
        <f t="shared" si="0"/>
        <v>0</v>
      </c>
    </row>
    <row r="41" spans="1:5">
      <c r="A41" s="34" t="s">
        <v>116</v>
      </c>
      <c r="B41" s="34" t="s">
        <v>113</v>
      </c>
      <c r="C41" s="12" t="s">
        <v>71</v>
      </c>
      <c r="D41" s="40">
        <v>0</v>
      </c>
      <c r="E41" s="40">
        <f t="shared" si="0"/>
        <v>0</v>
      </c>
    </row>
    <row r="42" spans="1:5">
      <c r="A42" s="34" t="s">
        <v>117</v>
      </c>
      <c r="B42" s="34" t="s">
        <v>113</v>
      </c>
      <c r="C42" s="12" t="s">
        <v>71</v>
      </c>
      <c r="D42" s="40">
        <v>0</v>
      </c>
      <c r="E42" s="40">
        <f t="shared" si="0"/>
        <v>0</v>
      </c>
    </row>
    <row r="43" spans="1:5">
      <c r="A43" s="34" t="s">
        <v>118</v>
      </c>
      <c r="B43" s="34" t="s">
        <v>119</v>
      </c>
      <c r="C43" s="12" t="s">
        <v>74</v>
      </c>
      <c r="D43" s="40">
        <v>0</v>
      </c>
      <c r="E43" s="40">
        <f t="shared" si="0"/>
        <v>0</v>
      </c>
    </row>
    <row r="44" spans="1:5">
      <c r="A44" s="34" t="s">
        <v>120</v>
      </c>
      <c r="B44" s="34" t="s">
        <v>119</v>
      </c>
      <c r="C44" s="12" t="s">
        <v>74</v>
      </c>
      <c r="D44" s="40">
        <v>159.073917011776</v>
      </c>
      <c r="E44" s="40">
        <f t="shared" si="0"/>
        <v>2.20432057226475</v>
      </c>
    </row>
    <row r="45" spans="1:5">
      <c r="A45" s="34" t="s">
        <v>121</v>
      </c>
      <c r="B45" s="34" t="s">
        <v>119</v>
      </c>
      <c r="C45" s="12" t="s">
        <v>100</v>
      </c>
      <c r="D45" s="40">
        <v>0</v>
      </c>
      <c r="E45" s="40">
        <f t="shared" si="0"/>
        <v>0</v>
      </c>
    </row>
    <row r="46" spans="1:5">
      <c r="A46" s="34" t="s">
        <v>122</v>
      </c>
      <c r="B46" s="34" t="s">
        <v>119</v>
      </c>
      <c r="C46" s="12" t="s">
        <v>67</v>
      </c>
      <c r="D46" s="40">
        <v>36.8465560175392</v>
      </c>
      <c r="E46" s="40">
        <f t="shared" si="0"/>
        <v>1.5780263654575</v>
      </c>
    </row>
    <row r="47" spans="1:5">
      <c r="A47" s="34" t="s">
        <v>123</v>
      </c>
      <c r="B47" s="34" t="s">
        <v>119</v>
      </c>
      <c r="C47" s="12" t="s">
        <v>71</v>
      </c>
      <c r="D47" s="40">
        <v>0</v>
      </c>
      <c r="E47" s="40">
        <f t="shared" si="0"/>
        <v>0</v>
      </c>
    </row>
    <row r="48" spans="1:5">
      <c r="A48" s="34" t="s">
        <v>124</v>
      </c>
      <c r="B48" s="34" t="s">
        <v>125</v>
      </c>
      <c r="C48" s="12" t="s">
        <v>100</v>
      </c>
      <c r="D48" s="40">
        <v>0</v>
      </c>
      <c r="E48" s="40">
        <f t="shared" si="0"/>
        <v>0</v>
      </c>
    </row>
    <row r="49" spans="1:5">
      <c r="A49" s="34" t="s">
        <v>126</v>
      </c>
      <c r="B49" s="34" t="s">
        <v>127</v>
      </c>
      <c r="C49" s="12" t="s">
        <v>128</v>
      </c>
      <c r="D49" s="40">
        <v>161.376530832387</v>
      </c>
      <c r="E49" s="40">
        <f t="shared" si="0"/>
        <v>2.21052325848555</v>
      </c>
    </row>
    <row r="50" spans="1:5">
      <c r="A50" s="34" t="s">
        <v>129</v>
      </c>
      <c r="B50" s="34" t="s">
        <v>130</v>
      </c>
      <c r="C50" s="12" t="s">
        <v>71</v>
      </c>
      <c r="D50" s="40">
        <v>126.83327464073</v>
      </c>
      <c r="E50" s="40">
        <f t="shared" si="0"/>
        <v>2.10664391416602</v>
      </c>
    </row>
    <row r="51" spans="1:5">
      <c r="A51" s="34" t="s">
        <v>131</v>
      </c>
      <c r="B51" s="34" t="s">
        <v>130</v>
      </c>
      <c r="C51" s="12" t="s">
        <v>71</v>
      </c>
      <c r="D51" s="40">
        <v>223.831172185478</v>
      </c>
      <c r="E51" s="40">
        <f t="shared" si="0"/>
        <v>2.35185652473333</v>
      </c>
    </row>
    <row r="52" spans="1:5">
      <c r="A52" s="34" t="s">
        <v>132</v>
      </c>
      <c r="B52" s="34" t="s">
        <v>130</v>
      </c>
      <c r="C52" s="12" t="s">
        <v>74</v>
      </c>
      <c r="D52" s="40">
        <v>41.0368877652609</v>
      </c>
      <c r="E52" s="40">
        <f t="shared" si="0"/>
        <v>1.62363055520571</v>
      </c>
    </row>
    <row r="53" spans="1:5">
      <c r="A53" s="34" t="s">
        <v>133</v>
      </c>
      <c r="B53" s="34" t="s">
        <v>130</v>
      </c>
      <c r="C53" s="12" t="s">
        <v>74</v>
      </c>
      <c r="D53" s="40">
        <v>34.9241270079284</v>
      </c>
      <c r="E53" s="40">
        <f t="shared" si="0"/>
        <v>1.55538622314597</v>
      </c>
    </row>
    <row r="54" spans="1:5">
      <c r="A54" s="34" t="s">
        <v>134</v>
      </c>
      <c r="B54" s="34" t="s">
        <v>130</v>
      </c>
      <c r="C54" s="12" t="s">
        <v>71</v>
      </c>
      <c r="D54" s="40">
        <v>0</v>
      </c>
      <c r="E54" s="40">
        <f t="shared" si="0"/>
        <v>0</v>
      </c>
    </row>
    <row r="55" spans="1:5">
      <c r="A55" s="34" t="s">
        <v>135</v>
      </c>
      <c r="B55" s="34" t="s">
        <v>130</v>
      </c>
      <c r="C55" s="12" t="s">
        <v>71</v>
      </c>
      <c r="D55" s="40">
        <v>501.315591403705</v>
      </c>
      <c r="E55" s="40">
        <f t="shared" si="0"/>
        <v>2.70097665846117</v>
      </c>
    </row>
    <row r="56" spans="1:5">
      <c r="A56" s="34" t="s">
        <v>136</v>
      </c>
      <c r="B56" s="34" t="s">
        <v>130</v>
      </c>
      <c r="C56" s="12" t="s">
        <v>71</v>
      </c>
      <c r="D56" s="40">
        <v>0</v>
      </c>
      <c r="E56" s="40">
        <f t="shared" si="0"/>
        <v>0</v>
      </c>
    </row>
    <row r="57" spans="1:5">
      <c r="A57" s="34" t="s">
        <v>137</v>
      </c>
      <c r="B57" s="34" t="s">
        <v>130</v>
      </c>
      <c r="C57" s="12" t="s">
        <v>71</v>
      </c>
      <c r="D57" s="40">
        <v>0</v>
      </c>
      <c r="E57" s="40">
        <f t="shared" si="0"/>
        <v>0</v>
      </c>
    </row>
    <row r="58" spans="1:5">
      <c r="A58" s="34" t="s">
        <v>138</v>
      </c>
      <c r="B58" s="34" t="s">
        <v>130</v>
      </c>
      <c r="C58" s="12" t="s">
        <v>71</v>
      </c>
      <c r="D58" s="40">
        <v>0</v>
      </c>
      <c r="E58" s="40">
        <f t="shared" si="0"/>
        <v>0</v>
      </c>
    </row>
    <row r="59" spans="1:5">
      <c r="A59" s="34" t="s">
        <v>139</v>
      </c>
      <c r="B59" s="34" t="s">
        <v>130</v>
      </c>
      <c r="C59" s="12" t="s">
        <v>71</v>
      </c>
      <c r="D59" s="40">
        <v>0</v>
      </c>
      <c r="E59" s="40">
        <f t="shared" si="0"/>
        <v>0</v>
      </c>
    </row>
    <row r="60" spans="1:5">
      <c r="A60" s="34" t="s">
        <v>140</v>
      </c>
      <c r="B60" s="34" t="s">
        <v>130</v>
      </c>
      <c r="C60" s="12" t="s">
        <v>74</v>
      </c>
      <c r="D60" s="40">
        <v>0</v>
      </c>
      <c r="E60" s="40">
        <f t="shared" si="0"/>
        <v>0</v>
      </c>
    </row>
    <row r="61" spans="1:5">
      <c r="A61" s="34" t="s">
        <v>141</v>
      </c>
      <c r="B61" s="34" t="s">
        <v>130</v>
      </c>
      <c r="C61" s="12" t="s">
        <v>100</v>
      </c>
      <c r="D61" s="40">
        <v>0</v>
      </c>
      <c r="E61" s="40">
        <f t="shared" si="0"/>
        <v>0</v>
      </c>
    </row>
    <row r="62" spans="1:5">
      <c r="A62" s="34" t="s">
        <v>142</v>
      </c>
      <c r="B62" s="34" t="s">
        <v>130</v>
      </c>
      <c r="C62" s="12" t="s">
        <v>71</v>
      </c>
      <c r="D62" s="40">
        <v>0</v>
      </c>
      <c r="E62" s="40">
        <f t="shared" si="0"/>
        <v>0</v>
      </c>
    </row>
    <row r="63" spans="1:5">
      <c r="A63" s="34" t="s">
        <v>143</v>
      </c>
      <c r="B63" s="34" t="s">
        <v>130</v>
      </c>
      <c r="C63" s="12" t="s">
        <v>74</v>
      </c>
      <c r="D63" s="40">
        <v>0</v>
      </c>
      <c r="E63" s="40">
        <f t="shared" si="0"/>
        <v>0</v>
      </c>
    </row>
    <row r="64" spans="1:5">
      <c r="A64" s="34" t="s">
        <v>144</v>
      </c>
      <c r="B64" s="34" t="s">
        <v>130</v>
      </c>
      <c r="C64" s="12" t="s">
        <v>74</v>
      </c>
      <c r="D64" s="40">
        <v>567.66854059063</v>
      </c>
      <c r="E64" s="40">
        <f t="shared" si="0"/>
        <v>2.75485920323757</v>
      </c>
    </row>
    <row r="65" spans="1:5">
      <c r="A65" s="34" t="s">
        <v>145</v>
      </c>
      <c r="B65" s="34" t="s">
        <v>130</v>
      </c>
      <c r="C65" s="12" t="s">
        <v>71</v>
      </c>
      <c r="D65" s="40">
        <v>0</v>
      </c>
      <c r="E65" s="40">
        <f t="shared" si="0"/>
        <v>0</v>
      </c>
    </row>
    <row r="66" spans="1:5">
      <c r="A66" s="34" t="s">
        <v>146</v>
      </c>
      <c r="B66" s="34" t="s">
        <v>147</v>
      </c>
      <c r="C66" s="12" t="s">
        <v>71</v>
      </c>
      <c r="D66" s="40">
        <v>0</v>
      </c>
      <c r="E66" s="40">
        <f>LOG(D66+1,10)</f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Z43"/>
  <sheetViews>
    <sheetView zoomScale="40" zoomScaleNormal="40" workbookViewId="0">
      <selection activeCell="AC12" sqref="AC12"/>
    </sheetView>
  </sheetViews>
  <sheetFormatPr defaultColWidth="8.87692307692308" defaultRowHeight="15.5"/>
  <cols>
    <col min="1" max="1" width="25.1153846153846" style="1" customWidth="1"/>
    <col min="2" max="2" width="6.46923076923077" customWidth="1"/>
  </cols>
  <sheetData>
    <row r="1" s="37" customFormat="1" spans="1:26">
      <c r="A1" s="3" t="s">
        <v>148</v>
      </c>
      <c r="B1" s="38" t="s">
        <v>149</v>
      </c>
      <c r="C1" s="38" t="s">
        <v>150</v>
      </c>
      <c r="D1" s="38" t="s">
        <v>151</v>
      </c>
      <c r="E1" s="38" t="s">
        <v>152</v>
      </c>
      <c r="F1" s="38" t="s">
        <v>153</v>
      </c>
      <c r="G1" s="38" t="s">
        <v>154</v>
      </c>
      <c r="H1" s="38" t="s">
        <v>155</v>
      </c>
      <c r="I1" s="38" t="s">
        <v>156</v>
      </c>
      <c r="J1" s="38" t="s">
        <v>157</v>
      </c>
      <c r="K1" s="38" t="s">
        <v>158</v>
      </c>
      <c r="L1" s="38" t="s">
        <v>159</v>
      </c>
      <c r="M1" s="38" t="s">
        <v>48</v>
      </c>
      <c r="N1" s="38" t="s">
        <v>160</v>
      </c>
      <c r="O1" s="38" t="s">
        <v>47</v>
      </c>
      <c r="P1" s="38" t="s">
        <v>161</v>
      </c>
      <c r="Q1" s="38" t="s">
        <v>49</v>
      </c>
      <c r="R1" s="38" t="s">
        <v>162</v>
      </c>
      <c r="S1" s="38" t="s">
        <v>163</v>
      </c>
      <c r="T1" s="38" t="s">
        <v>164</v>
      </c>
      <c r="U1" s="38" t="s">
        <v>165</v>
      </c>
      <c r="V1" s="38" t="s">
        <v>50</v>
      </c>
      <c r="W1" s="38" t="s">
        <v>166</v>
      </c>
      <c r="X1" s="38" t="s">
        <v>167</v>
      </c>
      <c r="Y1" s="38" t="s">
        <v>168</v>
      </c>
      <c r="Z1" s="38" t="s">
        <v>169</v>
      </c>
    </row>
    <row r="2" spans="1:26">
      <c r="A2" s="3" t="s">
        <v>170</v>
      </c>
      <c r="B2" s="34">
        <v>0</v>
      </c>
      <c r="C2" s="34">
        <v>0</v>
      </c>
      <c r="D2" s="34">
        <v>0</v>
      </c>
      <c r="E2" s="34">
        <v>0</v>
      </c>
      <c r="F2" s="34">
        <v>1</v>
      </c>
      <c r="G2" s="34">
        <v>0</v>
      </c>
      <c r="H2" s="34">
        <v>1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1</v>
      </c>
      <c r="R2" s="34">
        <v>2</v>
      </c>
      <c r="S2" s="34">
        <v>0</v>
      </c>
      <c r="T2" s="34">
        <v>0</v>
      </c>
      <c r="U2" s="34">
        <v>1</v>
      </c>
      <c r="V2" s="34">
        <v>0</v>
      </c>
      <c r="W2" s="34">
        <v>2</v>
      </c>
      <c r="X2" s="34">
        <v>0</v>
      </c>
      <c r="Y2" s="34">
        <v>0</v>
      </c>
      <c r="Z2" s="34">
        <v>1</v>
      </c>
    </row>
    <row r="3" spans="1:26">
      <c r="A3" s="3" t="s">
        <v>171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1</v>
      </c>
      <c r="N3" s="34">
        <v>1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1</v>
      </c>
      <c r="V3" s="34">
        <v>0</v>
      </c>
      <c r="W3" s="34">
        <v>1</v>
      </c>
      <c r="X3" s="34">
        <v>0</v>
      </c>
      <c r="Y3" s="34">
        <v>0</v>
      </c>
      <c r="Z3" s="34">
        <v>0</v>
      </c>
    </row>
    <row r="4" spans="1:26">
      <c r="A4" s="3" t="s">
        <v>172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1</v>
      </c>
      <c r="T4" s="34">
        <v>1</v>
      </c>
      <c r="U4" s="34">
        <v>0</v>
      </c>
      <c r="V4" s="34">
        <v>2</v>
      </c>
      <c r="W4" s="34">
        <v>1</v>
      </c>
      <c r="X4" s="34">
        <v>0</v>
      </c>
      <c r="Y4" s="34">
        <v>0</v>
      </c>
      <c r="Z4" s="34">
        <v>1</v>
      </c>
    </row>
    <row r="5" spans="1:26">
      <c r="A5" s="3" t="s">
        <v>173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1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1</v>
      </c>
      <c r="V5" s="34">
        <v>0</v>
      </c>
      <c r="W5" s="34">
        <v>0</v>
      </c>
      <c r="X5" s="34">
        <v>0</v>
      </c>
      <c r="Y5" s="34">
        <v>0</v>
      </c>
      <c r="Z5" s="34">
        <v>1</v>
      </c>
    </row>
    <row r="6" spans="1:26">
      <c r="A6" s="3" t="s">
        <v>174</v>
      </c>
      <c r="B6" s="34">
        <v>0</v>
      </c>
      <c r="C6" s="34">
        <v>0</v>
      </c>
      <c r="D6" s="34">
        <v>0</v>
      </c>
      <c r="E6" s="34">
        <v>1</v>
      </c>
      <c r="F6" s="34">
        <v>1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1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1</v>
      </c>
      <c r="U6" s="34">
        <v>0</v>
      </c>
      <c r="V6" s="34">
        <v>2</v>
      </c>
      <c r="W6" s="34">
        <v>1</v>
      </c>
      <c r="X6" s="34">
        <v>0</v>
      </c>
      <c r="Y6" s="34">
        <v>0</v>
      </c>
      <c r="Z6" s="34">
        <v>0</v>
      </c>
    </row>
    <row r="7" spans="1:26">
      <c r="A7" s="3" t="s">
        <v>175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1</v>
      </c>
      <c r="L7" s="34">
        <v>0</v>
      </c>
      <c r="M7" s="34">
        <v>2</v>
      </c>
      <c r="N7" s="34">
        <v>1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1</v>
      </c>
      <c r="X7" s="34">
        <v>1</v>
      </c>
      <c r="Y7" s="34">
        <v>0</v>
      </c>
      <c r="Z7" s="34">
        <v>0</v>
      </c>
    </row>
    <row r="8" spans="1:26">
      <c r="A8" s="3" t="s">
        <v>176</v>
      </c>
      <c r="B8" s="34">
        <v>0</v>
      </c>
      <c r="C8" s="34">
        <v>0</v>
      </c>
      <c r="D8" s="34">
        <v>0</v>
      </c>
      <c r="E8" s="34">
        <v>0</v>
      </c>
      <c r="F8" s="34">
        <v>1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1</v>
      </c>
      <c r="N8" s="34">
        <v>1</v>
      </c>
      <c r="O8" s="34">
        <v>2</v>
      </c>
      <c r="P8" s="34">
        <v>0</v>
      </c>
      <c r="Q8" s="34">
        <v>0</v>
      </c>
      <c r="R8" s="34">
        <v>0</v>
      </c>
      <c r="S8" s="34">
        <v>0</v>
      </c>
      <c r="T8" s="34">
        <v>1</v>
      </c>
      <c r="U8" s="34">
        <v>0</v>
      </c>
      <c r="V8" s="34">
        <v>1</v>
      </c>
      <c r="W8" s="34">
        <v>1</v>
      </c>
      <c r="X8" s="34">
        <v>0</v>
      </c>
      <c r="Y8" s="34">
        <v>0</v>
      </c>
      <c r="Z8" s="34">
        <v>1</v>
      </c>
    </row>
    <row r="9" spans="1:26">
      <c r="A9" s="3" t="s">
        <v>177</v>
      </c>
      <c r="B9" s="34">
        <v>0</v>
      </c>
      <c r="C9" s="34">
        <v>1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1</v>
      </c>
      <c r="P9" s="34">
        <v>1</v>
      </c>
      <c r="Q9" s="34">
        <v>0</v>
      </c>
      <c r="R9" s="34">
        <v>1</v>
      </c>
      <c r="S9" s="34">
        <v>0</v>
      </c>
      <c r="T9" s="34">
        <v>1</v>
      </c>
      <c r="U9" s="34">
        <v>0</v>
      </c>
      <c r="V9" s="34">
        <v>2</v>
      </c>
      <c r="W9" s="34">
        <v>1</v>
      </c>
      <c r="X9" s="34">
        <v>0</v>
      </c>
      <c r="Y9" s="34">
        <v>0</v>
      </c>
      <c r="Z9" s="34">
        <v>1</v>
      </c>
    </row>
    <row r="10" spans="1:26">
      <c r="A10" s="3" t="s">
        <v>178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1</v>
      </c>
      <c r="W10" s="34">
        <v>1</v>
      </c>
      <c r="X10" s="34">
        <v>0</v>
      </c>
      <c r="Y10" s="34">
        <v>0</v>
      </c>
      <c r="Z10" s="34">
        <v>1</v>
      </c>
    </row>
    <row r="11" spans="1:26">
      <c r="A11" s="3" t="s">
        <v>179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1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1</v>
      </c>
      <c r="V11" s="34">
        <v>0</v>
      </c>
      <c r="W11" s="34">
        <v>0</v>
      </c>
      <c r="X11" s="34">
        <v>0</v>
      </c>
      <c r="Y11" s="34">
        <v>0</v>
      </c>
      <c r="Z11" s="34">
        <v>2</v>
      </c>
    </row>
    <row r="12" spans="1:26">
      <c r="A12" s="3" t="s">
        <v>180</v>
      </c>
      <c r="B12" s="34">
        <v>0</v>
      </c>
      <c r="C12" s="34">
        <v>1</v>
      </c>
      <c r="D12" s="34">
        <v>0</v>
      </c>
      <c r="E12" s="34">
        <v>1</v>
      </c>
      <c r="F12" s="34">
        <v>1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1</v>
      </c>
      <c r="P12" s="34">
        <v>1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1</v>
      </c>
      <c r="X12" s="34">
        <v>0</v>
      </c>
      <c r="Y12" s="34">
        <v>0</v>
      </c>
      <c r="Z12" s="34">
        <v>1</v>
      </c>
    </row>
    <row r="13" spans="1:26">
      <c r="A13" s="3" t="s">
        <v>181</v>
      </c>
      <c r="B13" s="34">
        <v>0</v>
      </c>
      <c r="C13" s="34">
        <v>2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2</v>
      </c>
      <c r="N13" s="34">
        <v>2</v>
      </c>
      <c r="O13" s="34">
        <v>1</v>
      </c>
      <c r="P13" s="34">
        <v>1</v>
      </c>
      <c r="Q13" s="34">
        <v>0</v>
      </c>
      <c r="R13" s="34">
        <v>2</v>
      </c>
      <c r="S13" s="34">
        <v>0</v>
      </c>
      <c r="T13" s="34">
        <v>0</v>
      </c>
      <c r="U13" s="34">
        <v>1</v>
      </c>
      <c r="V13" s="34">
        <v>0</v>
      </c>
      <c r="W13" s="34">
        <v>1</v>
      </c>
      <c r="X13" s="34">
        <v>1</v>
      </c>
      <c r="Y13" s="34">
        <v>0</v>
      </c>
      <c r="Z13" s="34">
        <v>2</v>
      </c>
    </row>
    <row r="14" spans="1:26">
      <c r="A14" s="3" t="s">
        <v>182</v>
      </c>
      <c r="B14" s="34">
        <v>0</v>
      </c>
      <c r="C14" s="34">
        <v>1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2</v>
      </c>
      <c r="P14" s="34">
        <v>1</v>
      </c>
      <c r="Q14" s="34">
        <v>0</v>
      </c>
      <c r="R14" s="34">
        <v>0</v>
      </c>
      <c r="S14" s="34">
        <v>1</v>
      </c>
      <c r="T14" s="34">
        <v>0</v>
      </c>
      <c r="U14" s="34">
        <v>0</v>
      </c>
      <c r="V14" s="34">
        <v>1</v>
      </c>
      <c r="W14" s="34">
        <v>0</v>
      </c>
      <c r="X14" s="34">
        <v>0</v>
      </c>
      <c r="Y14" s="34">
        <v>1</v>
      </c>
      <c r="Z14" s="34">
        <v>1</v>
      </c>
    </row>
    <row r="15" spans="1:26">
      <c r="A15" s="3" t="s">
        <v>183</v>
      </c>
      <c r="B15" s="34">
        <v>0</v>
      </c>
      <c r="C15" s="34">
        <v>0</v>
      </c>
      <c r="D15" s="34">
        <v>0</v>
      </c>
      <c r="E15" s="34">
        <v>1</v>
      </c>
      <c r="F15" s="34">
        <v>1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2</v>
      </c>
      <c r="P15" s="34">
        <v>2</v>
      </c>
      <c r="Q15" s="34">
        <v>0</v>
      </c>
      <c r="R15" s="34">
        <v>1</v>
      </c>
      <c r="S15" s="34">
        <v>1</v>
      </c>
      <c r="T15" s="34">
        <v>1</v>
      </c>
      <c r="U15" s="34">
        <v>0</v>
      </c>
      <c r="V15" s="34">
        <v>1</v>
      </c>
      <c r="W15" s="34">
        <v>1</v>
      </c>
      <c r="X15" s="34">
        <v>0</v>
      </c>
      <c r="Y15" s="34">
        <v>0</v>
      </c>
      <c r="Z15" s="34">
        <v>0</v>
      </c>
    </row>
    <row r="16" spans="1:26">
      <c r="A16" s="3" t="s">
        <v>184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1</v>
      </c>
      <c r="O16" s="34">
        <v>1</v>
      </c>
      <c r="P16" s="34">
        <v>1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2</v>
      </c>
      <c r="W16" s="34">
        <v>1</v>
      </c>
      <c r="X16" s="34">
        <v>0</v>
      </c>
      <c r="Y16" s="34">
        <v>0</v>
      </c>
      <c r="Z16" s="34">
        <v>1</v>
      </c>
    </row>
    <row r="17" spans="1:26">
      <c r="A17" s="3" t="s">
        <v>185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1</v>
      </c>
      <c r="N17" s="34">
        <v>1</v>
      </c>
      <c r="O17" s="34">
        <v>1</v>
      </c>
      <c r="P17" s="34">
        <v>1</v>
      </c>
      <c r="Q17" s="34">
        <v>0</v>
      </c>
      <c r="R17" s="34">
        <v>1</v>
      </c>
      <c r="S17" s="34">
        <v>0</v>
      </c>
      <c r="T17" s="34">
        <v>0</v>
      </c>
      <c r="U17" s="34">
        <v>0</v>
      </c>
      <c r="V17" s="34">
        <v>3</v>
      </c>
      <c r="W17" s="34">
        <v>2</v>
      </c>
      <c r="X17" s="34">
        <v>0</v>
      </c>
      <c r="Y17" s="34">
        <v>0</v>
      </c>
      <c r="Z17" s="34">
        <v>1</v>
      </c>
    </row>
    <row r="18" spans="1:26">
      <c r="A18" s="3" t="s">
        <v>186</v>
      </c>
      <c r="B18" s="34">
        <v>0</v>
      </c>
      <c r="C18" s="34">
        <v>0</v>
      </c>
      <c r="D18" s="34">
        <v>0</v>
      </c>
      <c r="E18" s="34">
        <v>0</v>
      </c>
      <c r="F18" s="34">
        <v>1</v>
      </c>
      <c r="G18" s="34">
        <v>0</v>
      </c>
      <c r="H18" s="34">
        <v>0</v>
      </c>
      <c r="I18" s="34">
        <v>0</v>
      </c>
      <c r="J18" s="34">
        <v>0</v>
      </c>
      <c r="K18" s="34">
        <v>1</v>
      </c>
      <c r="L18" s="34">
        <v>1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1</v>
      </c>
      <c r="T18" s="34">
        <v>1</v>
      </c>
      <c r="U18" s="34">
        <v>0</v>
      </c>
      <c r="V18" s="34">
        <v>0</v>
      </c>
      <c r="W18" s="34">
        <v>1</v>
      </c>
      <c r="X18" s="34">
        <v>0</v>
      </c>
      <c r="Y18" s="34">
        <v>0</v>
      </c>
      <c r="Z18" s="34">
        <v>0</v>
      </c>
    </row>
    <row r="19" spans="1:26">
      <c r="A19" s="3" t="s">
        <v>187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1</v>
      </c>
      <c r="X19" s="34">
        <v>0</v>
      </c>
      <c r="Y19" s="34">
        <v>1</v>
      </c>
      <c r="Z19" s="34">
        <v>1</v>
      </c>
    </row>
    <row r="20" spans="1:26">
      <c r="A20" s="3" t="s">
        <v>188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2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1</v>
      </c>
      <c r="U20" s="34">
        <v>1</v>
      </c>
      <c r="V20" s="34">
        <v>0</v>
      </c>
      <c r="W20" s="34">
        <v>0</v>
      </c>
      <c r="X20" s="34">
        <v>5</v>
      </c>
      <c r="Y20" s="34">
        <v>0</v>
      </c>
      <c r="Z20" s="34">
        <v>0</v>
      </c>
    </row>
    <row r="21" spans="1:26">
      <c r="A21" s="3" t="s">
        <v>189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1</v>
      </c>
      <c r="U21" s="34">
        <v>2</v>
      </c>
      <c r="V21" s="34">
        <v>0</v>
      </c>
      <c r="W21" s="34">
        <v>0</v>
      </c>
      <c r="X21" s="34">
        <v>9</v>
      </c>
      <c r="Y21" s="34">
        <v>0</v>
      </c>
      <c r="Z21" s="34">
        <v>0</v>
      </c>
    </row>
    <row r="22" spans="1:26">
      <c r="A22" s="3" t="s">
        <v>190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1</v>
      </c>
      <c r="R22" s="34">
        <v>1</v>
      </c>
      <c r="S22" s="34">
        <v>0</v>
      </c>
      <c r="T22" s="34">
        <v>0</v>
      </c>
      <c r="U22" s="34">
        <v>0</v>
      </c>
      <c r="V22" s="34">
        <v>0</v>
      </c>
      <c r="W22" s="34">
        <v>1</v>
      </c>
      <c r="X22" s="34">
        <v>0</v>
      </c>
      <c r="Y22" s="34">
        <v>0</v>
      </c>
      <c r="Z22" s="34">
        <v>0</v>
      </c>
    </row>
    <row r="23" spans="1:26">
      <c r="A23" s="3" t="s">
        <v>191</v>
      </c>
      <c r="B23" s="34">
        <v>0</v>
      </c>
      <c r="C23" s="34">
        <v>1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1</v>
      </c>
      <c r="V23" s="34">
        <v>0</v>
      </c>
      <c r="W23" s="34">
        <v>1</v>
      </c>
      <c r="X23" s="34">
        <v>0</v>
      </c>
      <c r="Y23" s="34">
        <v>0</v>
      </c>
      <c r="Z23" s="34">
        <v>1</v>
      </c>
    </row>
    <row r="24" spans="1:26">
      <c r="A24" s="3" t="s">
        <v>192</v>
      </c>
      <c r="B24" s="34">
        <v>0</v>
      </c>
      <c r="C24" s="34">
        <v>0</v>
      </c>
      <c r="D24" s="34">
        <v>0</v>
      </c>
      <c r="E24" s="34">
        <v>0</v>
      </c>
      <c r="F24" s="34">
        <v>1</v>
      </c>
      <c r="G24" s="34">
        <v>0</v>
      </c>
      <c r="H24" s="34">
        <v>0</v>
      </c>
      <c r="I24" s="34">
        <v>1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1</v>
      </c>
      <c r="Y24" s="34">
        <v>0</v>
      </c>
      <c r="Z24" s="34">
        <v>2</v>
      </c>
    </row>
    <row r="25" spans="1:26">
      <c r="A25" s="3" t="s">
        <v>193</v>
      </c>
      <c r="B25" s="34">
        <v>0</v>
      </c>
      <c r="C25" s="34">
        <v>0</v>
      </c>
      <c r="D25" s="34">
        <v>0</v>
      </c>
      <c r="E25" s="34">
        <v>0</v>
      </c>
      <c r="F25" s="34">
        <v>1</v>
      </c>
      <c r="G25" s="34">
        <v>0</v>
      </c>
      <c r="H25" s="34">
        <v>0</v>
      </c>
      <c r="I25" s="34">
        <v>1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1</v>
      </c>
      <c r="P25" s="34">
        <v>1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2</v>
      </c>
    </row>
    <row r="26" spans="1:26">
      <c r="A26" s="3" t="s">
        <v>194</v>
      </c>
      <c r="B26" s="34">
        <v>0</v>
      </c>
      <c r="C26" s="34">
        <v>0</v>
      </c>
      <c r="D26" s="34">
        <v>0</v>
      </c>
      <c r="E26" s="34">
        <v>0</v>
      </c>
      <c r="F26" s="34">
        <v>1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1</v>
      </c>
      <c r="Y26" s="34">
        <v>0</v>
      </c>
      <c r="Z26" s="34">
        <v>2</v>
      </c>
    </row>
    <row r="27" spans="1:26">
      <c r="A27" s="3" t="s">
        <v>195</v>
      </c>
      <c r="B27" s="34">
        <v>1</v>
      </c>
      <c r="C27" s="34">
        <v>0</v>
      </c>
      <c r="D27" s="34">
        <v>0</v>
      </c>
      <c r="E27" s="34">
        <v>0</v>
      </c>
      <c r="F27" s="34">
        <v>1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1</v>
      </c>
      <c r="R27" s="34">
        <v>2</v>
      </c>
      <c r="S27" s="34">
        <v>0</v>
      </c>
      <c r="T27" s="34">
        <v>0</v>
      </c>
      <c r="U27" s="34">
        <v>1</v>
      </c>
      <c r="V27" s="34">
        <v>0</v>
      </c>
      <c r="W27" s="34">
        <v>0</v>
      </c>
      <c r="X27" s="34">
        <v>1</v>
      </c>
      <c r="Y27" s="34">
        <v>0</v>
      </c>
      <c r="Z27" s="34">
        <v>1</v>
      </c>
    </row>
    <row r="28" spans="1:26">
      <c r="A28" s="3" t="s">
        <v>196</v>
      </c>
      <c r="B28" s="34">
        <v>0</v>
      </c>
      <c r="C28" s="34">
        <v>0</v>
      </c>
      <c r="D28" s="34">
        <v>0</v>
      </c>
      <c r="E28" s="34">
        <v>0</v>
      </c>
      <c r="F28" s="34">
        <v>1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1</v>
      </c>
      <c r="R28" s="34">
        <v>3</v>
      </c>
      <c r="S28" s="34">
        <v>0</v>
      </c>
      <c r="T28" s="34">
        <v>0</v>
      </c>
      <c r="U28" s="34">
        <v>1</v>
      </c>
      <c r="V28" s="34">
        <v>0</v>
      </c>
      <c r="W28" s="34">
        <v>0</v>
      </c>
      <c r="X28" s="34">
        <v>0</v>
      </c>
      <c r="Y28" s="34">
        <v>0</v>
      </c>
      <c r="Z28" s="34">
        <v>1</v>
      </c>
    </row>
    <row r="29" spans="1:26">
      <c r="A29" s="3" t="s">
        <v>197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1</v>
      </c>
      <c r="H29" s="34">
        <v>1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1</v>
      </c>
      <c r="P29" s="34">
        <v>1</v>
      </c>
      <c r="Q29" s="34">
        <v>1</v>
      </c>
      <c r="R29" s="34">
        <v>1</v>
      </c>
      <c r="S29" s="34">
        <v>0</v>
      </c>
      <c r="T29" s="34">
        <v>0</v>
      </c>
      <c r="U29" s="34">
        <v>1</v>
      </c>
      <c r="V29" s="34">
        <v>0</v>
      </c>
      <c r="W29" s="34">
        <v>0</v>
      </c>
      <c r="X29" s="34">
        <v>1</v>
      </c>
      <c r="Y29" s="34">
        <v>0</v>
      </c>
      <c r="Z29" s="34">
        <v>0</v>
      </c>
    </row>
    <row r="30" spans="1:26">
      <c r="A30" s="3" t="s">
        <v>198</v>
      </c>
      <c r="B30" s="34">
        <v>0</v>
      </c>
      <c r="C30" s="34">
        <v>0</v>
      </c>
      <c r="D30" s="34">
        <v>0</v>
      </c>
      <c r="E30" s="34">
        <v>0</v>
      </c>
      <c r="F30" s="34">
        <v>1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1</v>
      </c>
      <c r="P30" s="34">
        <v>1</v>
      </c>
      <c r="Q30" s="34">
        <v>1</v>
      </c>
      <c r="R30" s="34">
        <v>1</v>
      </c>
      <c r="S30" s="34">
        <v>0</v>
      </c>
      <c r="T30" s="34">
        <v>1</v>
      </c>
      <c r="U30" s="34">
        <v>1</v>
      </c>
      <c r="V30" s="34">
        <v>0</v>
      </c>
      <c r="W30" s="34">
        <v>0</v>
      </c>
      <c r="X30" s="34">
        <v>0</v>
      </c>
      <c r="Y30" s="34">
        <v>0</v>
      </c>
      <c r="Z30" s="34">
        <v>1</v>
      </c>
    </row>
    <row r="31" spans="1:26">
      <c r="A31" s="3" t="s">
        <v>199</v>
      </c>
      <c r="B31" s="34">
        <v>0</v>
      </c>
      <c r="C31" s="34">
        <v>0</v>
      </c>
      <c r="D31" s="34">
        <v>1</v>
      </c>
      <c r="E31" s="34">
        <v>0</v>
      </c>
      <c r="F31" s="34">
        <v>1</v>
      </c>
      <c r="G31" s="34">
        <v>1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1</v>
      </c>
      <c r="Q31" s="34">
        <v>1</v>
      </c>
      <c r="R31" s="34">
        <v>1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1</v>
      </c>
    </row>
    <row r="32" spans="1:26">
      <c r="A32" s="3" t="s">
        <v>200</v>
      </c>
      <c r="B32" s="34">
        <v>0</v>
      </c>
      <c r="C32" s="34">
        <v>1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1</v>
      </c>
      <c r="X32" s="34">
        <v>0</v>
      </c>
      <c r="Y32" s="34">
        <v>0</v>
      </c>
      <c r="Z32" s="34">
        <v>0</v>
      </c>
    </row>
    <row r="33" spans="1:26">
      <c r="A33" s="3" t="s">
        <v>201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1</v>
      </c>
      <c r="P33" s="34">
        <v>1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1</v>
      </c>
      <c r="X33" s="34">
        <v>0</v>
      </c>
      <c r="Y33" s="34">
        <v>0</v>
      </c>
      <c r="Z33" s="34">
        <v>0</v>
      </c>
    </row>
    <row r="34" spans="1:26">
      <c r="A34" s="3" t="s">
        <v>202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1</v>
      </c>
      <c r="X34" s="34">
        <v>0</v>
      </c>
      <c r="Y34" s="34">
        <v>0</v>
      </c>
      <c r="Z34" s="34">
        <v>0</v>
      </c>
    </row>
    <row r="35" spans="1:26">
      <c r="A35" s="3" t="s">
        <v>203</v>
      </c>
      <c r="B35" s="34">
        <v>0</v>
      </c>
      <c r="C35" s="34">
        <v>0</v>
      </c>
      <c r="D35" s="34">
        <v>1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1</v>
      </c>
      <c r="R35" s="34">
        <v>1</v>
      </c>
      <c r="S35" s="34">
        <v>0</v>
      </c>
      <c r="T35" s="34">
        <v>0</v>
      </c>
      <c r="U35" s="34">
        <v>1</v>
      </c>
      <c r="V35" s="34">
        <v>0</v>
      </c>
      <c r="W35" s="34">
        <v>1</v>
      </c>
      <c r="X35" s="34">
        <v>0</v>
      </c>
      <c r="Y35" s="34">
        <v>0</v>
      </c>
      <c r="Z35" s="34">
        <v>0</v>
      </c>
    </row>
    <row r="36" spans="1:26">
      <c r="A36" s="3" t="s">
        <v>204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1</v>
      </c>
      <c r="P36" s="34">
        <v>1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1</v>
      </c>
      <c r="X36" s="34">
        <v>0</v>
      </c>
      <c r="Y36" s="34">
        <v>0</v>
      </c>
      <c r="Z36" s="34">
        <v>0</v>
      </c>
    </row>
    <row r="37" spans="1:26">
      <c r="A37" s="3" t="s">
        <v>205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1</v>
      </c>
      <c r="P37" s="34">
        <v>1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</row>
    <row r="38" spans="1:26">
      <c r="A38" s="3" t="s">
        <v>206</v>
      </c>
      <c r="B38" s="34">
        <v>1</v>
      </c>
      <c r="C38" s="34">
        <v>0</v>
      </c>
      <c r="D38" s="34">
        <v>0</v>
      </c>
      <c r="E38" s="34">
        <v>0</v>
      </c>
      <c r="F38" s="34">
        <v>1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1</v>
      </c>
      <c r="S38" s="34">
        <v>0</v>
      </c>
      <c r="T38" s="34">
        <v>0</v>
      </c>
      <c r="U38" s="34">
        <v>0</v>
      </c>
      <c r="V38" s="34">
        <v>0</v>
      </c>
      <c r="W38" s="34">
        <v>1</v>
      </c>
      <c r="X38" s="34">
        <v>1</v>
      </c>
      <c r="Y38" s="34">
        <v>0</v>
      </c>
      <c r="Z38" s="34">
        <v>0</v>
      </c>
    </row>
    <row r="39" spans="1:26">
      <c r="A39" s="3" t="s">
        <v>207</v>
      </c>
      <c r="B39" s="34">
        <v>0</v>
      </c>
      <c r="C39" s="34">
        <v>1</v>
      </c>
      <c r="D39" s="34">
        <v>0</v>
      </c>
      <c r="E39" s="34">
        <v>0</v>
      </c>
      <c r="F39" s="34">
        <v>1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1</v>
      </c>
      <c r="X39" s="34">
        <v>0</v>
      </c>
      <c r="Y39" s="34">
        <v>0</v>
      </c>
      <c r="Z39" s="34">
        <v>0</v>
      </c>
    </row>
    <row r="40" spans="1:26">
      <c r="A40" s="3" t="s">
        <v>208</v>
      </c>
      <c r="B40" s="34">
        <v>0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2</v>
      </c>
      <c r="L40" s="34">
        <v>1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1</v>
      </c>
    </row>
    <row r="41" spans="1:26">
      <c r="A41" s="3" t="s">
        <v>209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1</v>
      </c>
      <c r="L41" s="34">
        <v>1</v>
      </c>
      <c r="M41" s="34">
        <v>0</v>
      </c>
      <c r="N41" s="34">
        <v>0</v>
      </c>
      <c r="O41" s="34">
        <v>0</v>
      </c>
      <c r="P41" s="34">
        <v>0</v>
      </c>
      <c r="Q41" s="34">
        <v>1</v>
      </c>
      <c r="R41" s="34">
        <v>1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1</v>
      </c>
    </row>
    <row r="42" spans="1:26">
      <c r="A42" s="3" t="s">
        <v>210</v>
      </c>
      <c r="B42" s="34">
        <v>0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1</v>
      </c>
      <c r="L42" s="34">
        <v>1</v>
      </c>
      <c r="M42" s="34">
        <v>0</v>
      </c>
      <c r="N42" s="34">
        <v>0</v>
      </c>
      <c r="O42" s="34">
        <v>0</v>
      </c>
      <c r="P42" s="34">
        <v>0</v>
      </c>
      <c r="Q42" s="34">
        <v>1</v>
      </c>
      <c r="R42" s="34">
        <v>1</v>
      </c>
      <c r="S42" s="34">
        <v>0</v>
      </c>
      <c r="T42" s="34">
        <v>1</v>
      </c>
      <c r="U42" s="34">
        <v>0</v>
      </c>
      <c r="V42" s="34">
        <v>0</v>
      </c>
      <c r="W42" s="34">
        <v>1</v>
      </c>
      <c r="X42" s="34">
        <v>0</v>
      </c>
      <c r="Y42" s="34">
        <v>0</v>
      </c>
      <c r="Z42" s="34">
        <v>1</v>
      </c>
    </row>
    <row r="43" spans="1:26">
      <c r="A43" s="3" t="s">
        <v>211</v>
      </c>
      <c r="B43" s="34">
        <v>0</v>
      </c>
      <c r="C43" s="34">
        <v>0</v>
      </c>
      <c r="D43" s="34">
        <v>0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1</v>
      </c>
      <c r="P43" s="34">
        <v>1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1</v>
      </c>
      <c r="W43" s="34">
        <v>0</v>
      </c>
      <c r="X43" s="34">
        <v>0</v>
      </c>
      <c r="Y43" s="34">
        <v>0</v>
      </c>
      <c r="Z43" s="34">
        <v>1</v>
      </c>
    </row>
  </sheetData>
  <sortState ref="A2:Z67">
    <sortCondition ref="A1:A67" descending="1"/>
  </sortState>
  <conditionalFormatting sqref="B1:Z1">
    <cfRule type="containsText" dxfId="0" priority="3" operator="between" text="Present">
      <formula>NOT(ISERROR(SEARCH("Present",B1)))</formula>
    </cfRule>
    <cfRule type="containsText" dxfId="1" priority="4" operator="between" text="Absent">
      <formula>NOT(ISERROR(SEARCH("Absent",B1)))</formula>
    </cfRule>
  </conditionalFormatting>
  <conditionalFormatting sqref="A$1:A$1048576">
    <cfRule type="containsText" dxfId="0" priority="5" operator="between" text="Present">
      <formula>NOT(ISERROR(SEARCH("Present",A1)))</formula>
    </cfRule>
    <cfRule type="containsText" dxfId="1" priority="6" operator="between" text="Absent">
      <formula>NOT(ISERROR(SEARCH("Absent",A1)))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G22"/>
  <sheetViews>
    <sheetView zoomScale="85" zoomScaleNormal="85" topLeftCell="A7" workbookViewId="0">
      <selection activeCell="G14" sqref="G14"/>
    </sheetView>
  </sheetViews>
  <sheetFormatPr defaultColWidth="8.87692307692308" defaultRowHeight="15.5" outlineLevelCol="6"/>
  <cols>
    <col min="1" max="1" width="8.87692307692308" style="1"/>
    <col min="2" max="2" width="9" customWidth="1"/>
    <col min="7" max="7" width="15.4692307692308" customWidth="1"/>
  </cols>
  <sheetData>
    <row r="1" s="1" customFormat="1" ht="18.5" spans="1:1">
      <c r="A1" s="1" t="s">
        <v>212</v>
      </c>
    </row>
    <row r="2" s="1" customFormat="1" spans="1:6">
      <c r="A2" s="3" t="s">
        <v>213</v>
      </c>
      <c r="B2" s="3" t="s">
        <v>214</v>
      </c>
      <c r="C2" s="3" t="s">
        <v>215</v>
      </c>
      <c r="D2" s="3" t="s">
        <v>216</v>
      </c>
      <c r="E2" s="3" t="s">
        <v>217</v>
      </c>
      <c r="F2" s="3" t="s">
        <v>218</v>
      </c>
    </row>
    <row r="3" spans="1:7">
      <c r="A3" s="3">
        <v>0</v>
      </c>
      <c r="B3" s="4">
        <v>0.03</v>
      </c>
      <c r="C3" s="4">
        <v>0.03</v>
      </c>
      <c r="D3" s="4">
        <v>0.03</v>
      </c>
      <c r="E3" s="4">
        <v>0.03</v>
      </c>
      <c r="F3" s="4">
        <v>0.03</v>
      </c>
      <c r="G3" s="31"/>
    </row>
    <row r="4" spans="1:7">
      <c r="A4" s="3">
        <v>2</v>
      </c>
      <c r="B4" s="4">
        <v>0.66</v>
      </c>
      <c r="C4" s="4">
        <v>0.59</v>
      </c>
      <c r="D4" s="4">
        <v>0.69</v>
      </c>
      <c r="E4" s="4">
        <v>0.58</v>
      </c>
      <c r="F4" s="4">
        <v>0.57</v>
      </c>
      <c r="G4" s="31"/>
    </row>
    <row r="5" spans="1:7">
      <c r="A5" s="3">
        <v>4</v>
      </c>
      <c r="B5" s="4">
        <v>1.42</v>
      </c>
      <c r="C5" s="4">
        <v>1.32</v>
      </c>
      <c r="D5" s="4">
        <v>1.13</v>
      </c>
      <c r="E5" s="4">
        <v>0</v>
      </c>
      <c r="F5" s="4">
        <v>0.18</v>
      </c>
      <c r="G5" s="31"/>
    </row>
    <row r="6" spans="1:7">
      <c r="A6" s="3">
        <v>8</v>
      </c>
      <c r="B6" s="4">
        <v>1.03</v>
      </c>
      <c r="C6" s="4">
        <v>1.12</v>
      </c>
      <c r="D6" s="4">
        <v>0.82</v>
      </c>
      <c r="E6" s="4">
        <v>0.42</v>
      </c>
      <c r="F6" s="4">
        <v>0.52</v>
      </c>
      <c r="G6" s="31"/>
    </row>
    <row r="7" spans="1:7">
      <c r="A7" s="3">
        <v>12</v>
      </c>
      <c r="B7" s="4">
        <v>0.75</v>
      </c>
      <c r="C7" s="4">
        <v>0.92</v>
      </c>
      <c r="D7" s="4">
        <v>0.44</v>
      </c>
      <c r="E7" s="4">
        <v>0.25</v>
      </c>
      <c r="F7" s="4">
        <v>0.81</v>
      </c>
      <c r="G7" s="31"/>
    </row>
    <row r="8" spans="1:7">
      <c r="A8" s="3">
        <v>14</v>
      </c>
      <c r="B8" s="4">
        <v>7.78</v>
      </c>
      <c r="C8" s="4">
        <v>5.03</v>
      </c>
      <c r="D8" s="4">
        <v>3.22</v>
      </c>
      <c r="E8" s="4">
        <v>1.27</v>
      </c>
      <c r="F8" s="4">
        <v>5.28</v>
      </c>
      <c r="G8" s="31"/>
    </row>
    <row r="9" spans="1:7">
      <c r="A9" s="3">
        <v>16</v>
      </c>
      <c r="B9" s="4">
        <v>20.24</v>
      </c>
      <c r="C9" s="4">
        <v>15.67</v>
      </c>
      <c r="D9" s="4">
        <v>18.03</v>
      </c>
      <c r="E9" s="4">
        <v>15.72</v>
      </c>
      <c r="F9" s="4">
        <v>23.08</v>
      </c>
      <c r="G9" s="31"/>
    </row>
    <row r="10" spans="1:7">
      <c r="A10" s="3">
        <v>20</v>
      </c>
      <c r="B10" s="4">
        <v>4.59</v>
      </c>
      <c r="C10" s="4">
        <v>3.78</v>
      </c>
      <c r="D10" s="4">
        <v>3.07</v>
      </c>
      <c r="E10" s="4">
        <v>0.94</v>
      </c>
      <c r="F10" s="4">
        <v>4.09</v>
      </c>
      <c r="G10" s="31"/>
    </row>
    <row r="11" spans="1:7">
      <c r="A11" s="3">
        <v>24</v>
      </c>
      <c r="B11" s="4">
        <v>0.9</v>
      </c>
      <c r="C11" s="4">
        <v>0.43</v>
      </c>
      <c r="D11" s="4">
        <v>0.74</v>
      </c>
      <c r="E11" s="4">
        <v>0.05</v>
      </c>
      <c r="F11" s="4">
        <v>1.17</v>
      </c>
      <c r="G11" s="31"/>
    </row>
    <row r="12" s="1" customFormat="1" ht="18.5" spans="1:7">
      <c r="A12" s="1" t="s">
        <v>219</v>
      </c>
      <c r="G12" s="32"/>
    </row>
    <row r="13" s="1" customFormat="1" spans="1:7">
      <c r="A13" s="3" t="s">
        <v>21</v>
      </c>
      <c r="B13" s="3" t="s">
        <v>214</v>
      </c>
      <c r="C13" s="3" t="s">
        <v>215</v>
      </c>
      <c r="D13" s="3" t="s">
        <v>216</v>
      </c>
      <c r="E13" s="3" t="s">
        <v>217</v>
      </c>
      <c r="F13" s="3" t="s">
        <v>218</v>
      </c>
      <c r="G13" s="32"/>
    </row>
    <row r="14" spans="1:7">
      <c r="A14" s="3">
        <v>0</v>
      </c>
      <c r="B14" s="4">
        <v>0.02</v>
      </c>
      <c r="C14" s="4">
        <v>0.02</v>
      </c>
      <c r="D14" s="4">
        <v>0.02</v>
      </c>
      <c r="E14" s="4">
        <v>0.02</v>
      </c>
      <c r="F14" s="4">
        <v>0.02</v>
      </c>
      <c r="G14" s="31"/>
    </row>
    <row r="15" spans="1:7">
      <c r="A15" s="3">
        <v>2</v>
      </c>
      <c r="B15" s="4">
        <v>0.02</v>
      </c>
      <c r="C15" s="4">
        <v>0.05</v>
      </c>
      <c r="D15" s="4">
        <v>0.01</v>
      </c>
      <c r="E15" s="4">
        <v>0.03</v>
      </c>
      <c r="F15" s="4">
        <v>0.01</v>
      </c>
      <c r="G15" s="31"/>
    </row>
    <row r="16" spans="1:7">
      <c r="A16" s="3">
        <v>4</v>
      </c>
      <c r="B16" s="4">
        <v>0.01</v>
      </c>
      <c r="C16" s="4">
        <v>0.08</v>
      </c>
      <c r="D16" s="4">
        <v>0</v>
      </c>
      <c r="E16" s="4">
        <v>0</v>
      </c>
      <c r="F16" s="4">
        <v>0.01</v>
      </c>
      <c r="G16" s="31"/>
    </row>
    <row r="17" spans="1:7">
      <c r="A17" s="3">
        <v>8</v>
      </c>
      <c r="B17" s="4">
        <v>0.04</v>
      </c>
      <c r="C17" s="4">
        <v>0.01</v>
      </c>
      <c r="D17" s="4">
        <v>0.04</v>
      </c>
      <c r="E17" s="4">
        <v>0.04</v>
      </c>
      <c r="F17" s="4">
        <v>0.01</v>
      </c>
      <c r="G17" s="31"/>
    </row>
    <row r="18" spans="1:7">
      <c r="A18" s="3">
        <v>12</v>
      </c>
      <c r="B18" s="4">
        <v>0.01</v>
      </c>
      <c r="C18" s="4">
        <v>0.07</v>
      </c>
      <c r="D18" s="4">
        <v>0.08</v>
      </c>
      <c r="E18" s="4">
        <v>0.06</v>
      </c>
      <c r="F18" s="4">
        <v>0.08</v>
      </c>
      <c r="G18" s="31"/>
    </row>
    <row r="19" spans="1:7">
      <c r="A19" s="3">
        <v>14</v>
      </c>
      <c r="B19" s="4">
        <v>2.1</v>
      </c>
      <c r="C19" s="4">
        <v>3.01</v>
      </c>
      <c r="D19" s="4">
        <v>3.01</v>
      </c>
      <c r="E19" s="4">
        <v>2.72</v>
      </c>
      <c r="F19" s="4">
        <v>3.46</v>
      </c>
      <c r="G19" s="31"/>
    </row>
    <row r="20" spans="1:7">
      <c r="A20" s="3">
        <v>16</v>
      </c>
      <c r="B20" s="4">
        <v>2.44</v>
      </c>
      <c r="C20" s="4">
        <v>4.94</v>
      </c>
      <c r="D20" s="4">
        <v>0</v>
      </c>
      <c r="E20" s="4">
        <v>6.78</v>
      </c>
      <c r="F20" s="4">
        <v>0.98</v>
      </c>
      <c r="G20" s="31"/>
    </row>
    <row r="21" spans="1:7">
      <c r="A21" s="3">
        <v>20</v>
      </c>
      <c r="B21" s="4">
        <v>0.01</v>
      </c>
      <c r="C21" s="4">
        <v>0.01</v>
      </c>
      <c r="D21" s="4">
        <v>0</v>
      </c>
      <c r="E21" s="4">
        <v>0</v>
      </c>
      <c r="F21" s="4">
        <v>0.01</v>
      </c>
      <c r="G21" s="31"/>
    </row>
    <row r="22" spans="1:7">
      <c r="A22" s="3">
        <v>24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31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26"/>
  <sheetViews>
    <sheetView workbookViewId="0">
      <selection activeCell="D6" sqref="D6"/>
    </sheetView>
  </sheetViews>
  <sheetFormatPr defaultColWidth="8.87692307692308" defaultRowHeight="15.5" outlineLevelCol="2"/>
  <cols>
    <col min="1" max="1" width="15.5307692307692" customWidth="1"/>
    <col min="2" max="2" width="15.1769230769231" customWidth="1"/>
    <col min="3" max="3" width="17.8769230769231" customWidth="1"/>
  </cols>
  <sheetData>
    <row r="1" ht="18.5" spans="1:3">
      <c r="A1" s="3" t="s">
        <v>220</v>
      </c>
      <c r="B1" s="3" t="s">
        <v>221</v>
      </c>
      <c r="C1" s="3" t="s">
        <v>222</v>
      </c>
    </row>
    <row r="2" spans="1:3">
      <c r="A2" s="3">
        <v>-240</v>
      </c>
      <c r="B2" s="5">
        <v>0.4404</v>
      </c>
      <c r="C2" s="5">
        <v>167.83085</v>
      </c>
    </row>
    <row r="3" spans="1:3">
      <c r="A3" s="3">
        <v>-192</v>
      </c>
      <c r="B3" s="5">
        <v>0.4407</v>
      </c>
      <c r="C3" s="5">
        <v>169.07931</v>
      </c>
    </row>
    <row r="4" spans="1:3">
      <c r="A4" s="3">
        <v>-144</v>
      </c>
      <c r="B4" s="5">
        <v>0.45932</v>
      </c>
      <c r="C4" s="5">
        <v>177.5965</v>
      </c>
    </row>
    <row r="5" spans="1:3">
      <c r="A5" s="3">
        <v>-96</v>
      </c>
      <c r="B5" s="5">
        <v>0.45932</v>
      </c>
      <c r="C5" s="5">
        <v>185.22583</v>
      </c>
    </row>
    <row r="6" spans="1:3">
      <c r="A6" s="3">
        <v>-48</v>
      </c>
      <c r="B6" s="5">
        <v>0.45927</v>
      </c>
      <c r="C6" s="5">
        <v>198.56789</v>
      </c>
    </row>
    <row r="7" spans="1:3">
      <c r="A7" s="3">
        <v>0</v>
      </c>
      <c r="B7" s="5">
        <v>0.4642</v>
      </c>
      <c r="C7" s="5">
        <v>206.04647</v>
      </c>
    </row>
    <row r="8" spans="1:3">
      <c r="A8" s="3">
        <v>48</v>
      </c>
      <c r="B8" s="5">
        <v>0.464</v>
      </c>
      <c r="C8" s="5">
        <v>199.18884</v>
      </c>
    </row>
    <row r="9" spans="1:3">
      <c r="A9" s="3">
        <v>96</v>
      </c>
      <c r="B9" s="5">
        <v>0.46455</v>
      </c>
      <c r="C9" s="5">
        <v>188.59686</v>
      </c>
    </row>
    <row r="10" spans="1:3">
      <c r="A10" s="3">
        <v>144</v>
      </c>
      <c r="B10" s="5">
        <v>0.4508</v>
      </c>
      <c r="C10" s="5">
        <v>158.5621</v>
      </c>
    </row>
    <row r="11" spans="1:3">
      <c r="A11" s="3">
        <v>192</v>
      </c>
      <c r="B11" s="5">
        <v>0.46982</v>
      </c>
      <c r="C11" s="5">
        <v>138.38822</v>
      </c>
    </row>
    <row r="12" spans="1:3">
      <c r="A12" s="3">
        <v>240</v>
      </c>
      <c r="B12" s="5">
        <v>0.4622</v>
      </c>
      <c r="C12" s="5">
        <v>126.45543</v>
      </c>
    </row>
    <row r="13" spans="1:3">
      <c r="A13" s="3">
        <v>300</v>
      </c>
      <c r="B13" s="5">
        <v>0.4549</v>
      </c>
      <c r="C13" s="5">
        <v>107.62327</v>
      </c>
    </row>
    <row r="14" spans="1:3">
      <c r="A14" s="3">
        <v>360</v>
      </c>
      <c r="B14" s="5">
        <v>0.5102</v>
      </c>
      <c r="C14" s="5">
        <v>87.08881</v>
      </c>
    </row>
    <row r="15" spans="1:3">
      <c r="A15" s="3">
        <v>420</v>
      </c>
      <c r="B15" s="5">
        <v>0.47379</v>
      </c>
      <c r="C15" s="5">
        <v>69.9681</v>
      </c>
    </row>
    <row r="16" spans="1:3">
      <c r="A16" s="3">
        <v>480</v>
      </c>
      <c r="B16" s="5">
        <v>0.401</v>
      </c>
      <c r="C16" s="5">
        <v>57.21119</v>
      </c>
    </row>
    <row r="17" spans="1:3">
      <c r="A17" s="3">
        <v>540</v>
      </c>
      <c r="B17" s="5">
        <v>0.4208</v>
      </c>
      <c r="C17" s="5">
        <v>46.2728</v>
      </c>
    </row>
    <row r="18" spans="1:3">
      <c r="A18" s="3">
        <v>600</v>
      </c>
      <c r="B18" s="5">
        <v>0.40593</v>
      </c>
      <c r="C18" s="5">
        <v>38.91591</v>
      </c>
    </row>
    <row r="19" spans="1:3">
      <c r="A19" s="3">
        <v>720</v>
      </c>
      <c r="B19" s="5">
        <v>0.42724</v>
      </c>
      <c r="C19" s="5">
        <v>32.78009</v>
      </c>
    </row>
    <row r="20" spans="1:3">
      <c r="A20" s="3">
        <v>840</v>
      </c>
      <c r="B20" s="5">
        <v>0.42846</v>
      </c>
      <c r="C20" s="5">
        <v>28.21656</v>
      </c>
    </row>
    <row r="21" spans="1:3">
      <c r="A21" s="3">
        <v>960</v>
      </c>
      <c r="B21" s="5">
        <v>0.5121</v>
      </c>
      <c r="C21" s="5">
        <v>24.2251</v>
      </c>
    </row>
    <row r="22" spans="1:3">
      <c r="A22" s="3">
        <v>1080</v>
      </c>
      <c r="B22" s="5">
        <v>0.50886</v>
      </c>
      <c r="C22" s="5">
        <v>22.2254</v>
      </c>
    </row>
    <row r="23" spans="1:3">
      <c r="A23" s="3">
        <v>1200</v>
      </c>
      <c r="B23" s="5">
        <v>0.49875</v>
      </c>
      <c r="C23" s="5">
        <v>20.5532</v>
      </c>
    </row>
    <row r="24" spans="1:3">
      <c r="A24" s="3">
        <v>1320</v>
      </c>
      <c r="B24" s="5">
        <v>0.52222</v>
      </c>
      <c r="C24" s="5">
        <v>18.0235</v>
      </c>
    </row>
    <row r="25" spans="1:3">
      <c r="A25" s="3">
        <v>1440</v>
      </c>
      <c r="B25" s="5">
        <v>0.5264</v>
      </c>
      <c r="C25" s="5">
        <v>19.2248</v>
      </c>
    </row>
    <row r="26" spans="1:3">
      <c r="A26" s="3">
        <v>1560</v>
      </c>
      <c r="B26" s="5">
        <v>0.5121</v>
      </c>
      <c r="C26" s="5">
        <v>18.225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C26"/>
  <sheetViews>
    <sheetView workbookViewId="0">
      <selection activeCell="D5" sqref="D5"/>
    </sheetView>
  </sheetViews>
  <sheetFormatPr defaultColWidth="8.87692307692308" defaultRowHeight="15.5" outlineLevelCol="2"/>
  <cols>
    <col min="1" max="1" width="16.0615384615385" style="13" customWidth="1"/>
    <col min="2" max="2" width="19" style="2" customWidth="1"/>
    <col min="3" max="3" width="18.7" style="2" customWidth="1"/>
  </cols>
  <sheetData>
    <row r="1" ht="18.5" spans="1:3">
      <c r="A1" s="3" t="s">
        <v>220</v>
      </c>
      <c r="B1" s="3" t="s">
        <v>221</v>
      </c>
      <c r="C1" s="3" t="s">
        <v>222</v>
      </c>
    </row>
    <row r="2" spans="1:3">
      <c r="A2" s="3">
        <v>-240</v>
      </c>
      <c r="B2" s="5">
        <v>0.84</v>
      </c>
      <c r="C2" s="5">
        <v>102.188</v>
      </c>
    </row>
    <row r="3" spans="1:3">
      <c r="A3" s="3">
        <v>-192</v>
      </c>
      <c r="B3" s="5">
        <v>0.83</v>
      </c>
      <c r="C3" s="5">
        <v>86.451</v>
      </c>
    </row>
    <row r="4" spans="1:3">
      <c r="A4" s="3">
        <v>-144</v>
      </c>
      <c r="B4" s="5">
        <v>0.931</v>
      </c>
      <c r="C4" s="5">
        <v>71.035</v>
      </c>
    </row>
    <row r="5" spans="1:3">
      <c r="A5" s="3">
        <v>-96</v>
      </c>
      <c r="B5" s="5">
        <v>0.961</v>
      </c>
      <c r="C5" s="5">
        <v>57.65</v>
      </c>
    </row>
    <row r="6" spans="1:3">
      <c r="A6" s="3">
        <v>-48</v>
      </c>
      <c r="B6" s="5">
        <v>0.939</v>
      </c>
      <c r="C6" s="5">
        <v>42.823</v>
      </c>
    </row>
    <row r="7" spans="1:3">
      <c r="A7" s="3">
        <v>0</v>
      </c>
      <c r="B7" s="5">
        <v>0.814</v>
      </c>
      <c r="C7" s="5">
        <v>27.213</v>
      </c>
    </row>
    <row r="8" spans="1:3">
      <c r="A8" s="3">
        <v>48</v>
      </c>
      <c r="B8" s="5">
        <v>0.932</v>
      </c>
      <c r="C8" s="5">
        <v>18.868</v>
      </c>
    </row>
    <row r="9" spans="1:3">
      <c r="A9" s="3">
        <v>96</v>
      </c>
      <c r="B9" s="5">
        <v>0.97</v>
      </c>
      <c r="C9" s="5">
        <v>10.986</v>
      </c>
    </row>
    <row r="10" spans="1:3">
      <c r="A10" s="3">
        <v>144</v>
      </c>
      <c r="B10" s="5">
        <v>1.003</v>
      </c>
      <c r="C10" s="5">
        <v>7.077</v>
      </c>
    </row>
    <row r="11" spans="1:3">
      <c r="A11" s="3">
        <v>192</v>
      </c>
      <c r="B11" s="5">
        <v>1.031</v>
      </c>
      <c r="C11" s="5">
        <v>6.377</v>
      </c>
    </row>
    <row r="12" spans="1:3">
      <c r="A12" s="3">
        <v>240</v>
      </c>
      <c r="B12" s="5">
        <v>1.138</v>
      </c>
      <c r="C12" s="5">
        <v>6.18</v>
      </c>
    </row>
    <row r="13" spans="1:3">
      <c r="A13" s="3">
        <v>300</v>
      </c>
      <c r="B13" s="5">
        <v>1.259</v>
      </c>
      <c r="C13" s="5">
        <v>6.123</v>
      </c>
    </row>
    <row r="14" spans="1:3">
      <c r="A14" s="3">
        <v>360</v>
      </c>
      <c r="B14" s="5">
        <v>1.382</v>
      </c>
      <c r="C14" s="5">
        <v>5.891</v>
      </c>
    </row>
    <row r="15" spans="1:3">
      <c r="A15" s="3">
        <v>420</v>
      </c>
      <c r="B15" s="5">
        <v>1.414</v>
      </c>
      <c r="C15" s="5">
        <v>5.846</v>
      </c>
    </row>
    <row r="16" spans="1:3">
      <c r="A16" s="3">
        <v>480</v>
      </c>
      <c r="B16" s="5">
        <v>1.343</v>
      </c>
      <c r="C16" s="5">
        <v>5.446</v>
      </c>
    </row>
    <row r="17" spans="1:3">
      <c r="A17" s="3">
        <v>540</v>
      </c>
      <c r="B17" s="5">
        <v>1.342</v>
      </c>
      <c r="C17" s="5">
        <v>5.42</v>
      </c>
    </row>
    <row r="18" spans="1:3">
      <c r="A18" s="3">
        <v>600</v>
      </c>
      <c r="B18" s="5">
        <v>1.329</v>
      </c>
      <c r="C18" s="5">
        <v>5.38</v>
      </c>
    </row>
    <row r="19" spans="1:3">
      <c r="A19" s="3">
        <v>720</v>
      </c>
      <c r="B19" s="5">
        <v>1.353</v>
      </c>
      <c r="C19" s="5">
        <v>5.243</v>
      </c>
    </row>
    <row r="20" spans="1:3">
      <c r="A20" s="3">
        <v>840</v>
      </c>
      <c r="B20" s="5">
        <v>1.765</v>
      </c>
      <c r="C20" s="5">
        <v>5.224</v>
      </c>
    </row>
    <row r="21" spans="1:3">
      <c r="A21" s="3">
        <v>960</v>
      </c>
      <c r="B21" s="5">
        <v>1.937</v>
      </c>
      <c r="C21" s="5">
        <v>5.22</v>
      </c>
    </row>
    <row r="22" spans="1:3">
      <c r="A22" s="3">
        <v>1080</v>
      </c>
      <c r="B22" s="5">
        <v>1.941</v>
      </c>
      <c r="C22" s="5">
        <v>5.213</v>
      </c>
    </row>
    <row r="23" spans="1:3">
      <c r="A23" s="3">
        <v>1200</v>
      </c>
      <c r="B23" s="5">
        <v>1.98</v>
      </c>
      <c r="C23" s="5">
        <v>5.2</v>
      </c>
    </row>
    <row r="24" spans="1:3">
      <c r="A24" s="3">
        <v>1320</v>
      </c>
      <c r="B24" s="5">
        <v>2.028</v>
      </c>
      <c r="C24" s="5">
        <v>5.205</v>
      </c>
    </row>
    <row r="25" spans="1:3">
      <c r="A25" s="3">
        <v>1440</v>
      </c>
      <c r="B25" s="5">
        <v>1.969</v>
      </c>
      <c r="C25" s="5">
        <v>5.204</v>
      </c>
    </row>
    <row r="26" spans="1:3">
      <c r="A26" s="3">
        <v>1560</v>
      </c>
      <c r="B26" s="5">
        <v>1.936</v>
      </c>
      <c r="C26" s="5">
        <v>5.2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20"/>
  <sheetViews>
    <sheetView workbookViewId="0">
      <selection activeCell="E5" sqref="E5"/>
    </sheetView>
  </sheetViews>
  <sheetFormatPr defaultColWidth="8.87692307692308" defaultRowHeight="15.5" outlineLevelCol="2"/>
  <cols>
    <col min="1" max="1" width="8.87692307692308" style="1"/>
    <col min="2" max="2" width="37.5307692307692" customWidth="1"/>
    <col min="3" max="3" width="41.2923076923077" customWidth="1"/>
  </cols>
  <sheetData>
    <row r="1" s="1" customFormat="1" ht="18" spans="1:3">
      <c r="A1" s="3" t="s">
        <v>223</v>
      </c>
      <c r="B1" s="3" t="s">
        <v>224</v>
      </c>
      <c r="C1" s="3" t="s">
        <v>225</v>
      </c>
    </row>
    <row r="2" spans="1:3">
      <c r="A2" s="3">
        <v>0</v>
      </c>
      <c r="B2" s="5">
        <v>-0.00217</v>
      </c>
      <c r="C2" s="5">
        <v>1.28052</v>
      </c>
    </row>
    <row r="3" spans="1:3">
      <c r="A3" s="3">
        <v>48</v>
      </c>
      <c r="B3" s="5">
        <v>0.00562</v>
      </c>
      <c r="C3" s="5">
        <v>0.38769</v>
      </c>
    </row>
    <row r="4" spans="1:3">
      <c r="A4" s="3">
        <v>96</v>
      </c>
      <c r="B4" s="5">
        <v>-0.13184</v>
      </c>
      <c r="C4" s="5">
        <v>0.3148</v>
      </c>
    </row>
    <row r="5" spans="1:3">
      <c r="A5" s="3">
        <v>144</v>
      </c>
      <c r="B5" s="5">
        <v>0.17092</v>
      </c>
      <c r="C5" s="5">
        <v>0.25294</v>
      </c>
    </row>
    <row r="6" spans="1:3">
      <c r="A6" s="3">
        <v>192</v>
      </c>
      <c r="B6" s="5">
        <v>-0.06404</v>
      </c>
      <c r="C6" s="5">
        <v>0.89963</v>
      </c>
    </row>
    <row r="7" spans="1:3">
      <c r="A7" s="3">
        <v>240</v>
      </c>
      <c r="B7" s="5">
        <v>-0.04579</v>
      </c>
      <c r="C7" s="5">
        <v>0.75856</v>
      </c>
    </row>
    <row r="8" spans="1:3">
      <c r="A8" s="3">
        <v>300</v>
      </c>
      <c r="B8" s="5">
        <v>0.31693</v>
      </c>
      <c r="C8" s="5">
        <v>0.70529</v>
      </c>
    </row>
    <row r="9" spans="1:3">
      <c r="A9" s="3">
        <v>360</v>
      </c>
      <c r="B9" s="5">
        <v>-0.18985</v>
      </c>
      <c r="C9" s="5">
        <v>0.16693</v>
      </c>
    </row>
    <row r="10" spans="1:3">
      <c r="A10" s="3">
        <v>420</v>
      </c>
      <c r="B10" s="5">
        <v>-0.34371</v>
      </c>
      <c r="C10" s="5">
        <v>-0.33437</v>
      </c>
    </row>
    <row r="11" spans="1:3">
      <c r="A11" s="3">
        <v>480</v>
      </c>
      <c r="B11" s="5">
        <v>0.08423</v>
      </c>
      <c r="C11" s="5">
        <v>-0.0051</v>
      </c>
    </row>
    <row r="12" spans="1:3">
      <c r="A12" s="3">
        <v>540</v>
      </c>
      <c r="B12" s="5">
        <v>-0.05666</v>
      </c>
      <c r="C12" s="5">
        <v>-0.0492</v>
      </c>
    </row>
    <row r="13" spans="1:3">
      <c r="A13" s="3">
        <v>600</v>
      </c>
      <c r="B13" s="5">
        <v>0.03613</v>
      </c>
      <c r="C13" s="5">
        <v>0.20982</v>
      </c>
    </row>
    <row r="14" spans="1:3">
      <c r="A14" s="3">
        <v>720</v>
      </c>
      <c r="B14" s="5">
        <v>0.0016</v>
      </c>
      <c r="C14" s="5">
        <v>0.41003</v>
      </c>
    </row>
    <row r="15" spans="1:3">
      <c r="A15" s="3">
        <v>840</v>
      </c>
      <c r="B15" s="5">
        <v>0.08192</v>
      </c>
      <c r="C15" s="5">
        <v>0.16813</v>
      </c>
    </row>
    <row r="16" spans="1:3">
      <c r="A16" s="3">
        <v>960</v>
      </c>
      <c r="B16" s="5">
        <v>-0.00225</v>
      </c>
      <c r="C16" s="5">
        <v>0.00305</v>
      </c>
    </row>
    <row r="17" spans="1:3">
      <c r="A17" s="3">
        <v>1080</v>
      </c>
      <c r="B17" s="5">
        <v>-0.00464</v>
      </c>
      <c r="C17" s="5">
        <v>0.01772</v>
      </c>
    </row>
    <row r="18" spans="1:3">
      <c r="A18" s="3">
        <v>1200</v>
      </c>
      <c r="B18" s="5">
        <v>0.00637</v>
      </c>
      <c r="C18" s="5">
        <v>0.01316</v>
      </c>
    </row>
    <row r="19" spans="1:3">
      <c r="A19" s="3">
        <v>1320</v>
      </c>
      <c r="B19" s="5">
        <v>0.000555668</v>
      </c>
      <c r="C19" s="5">
        <v>-0.00786</v>
      </c>
    </row>
    <row r="20" spans="1:3">
      <c r="A20" s="3">
        <v>1440</v>
      </c>
      <c r="B20" s="5">
        <v>0.03965</v>
      </c>
      <c r="C20" s="5">
        <v>-0.00146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P13"/>
  <sheetViews>
    <sheetView workbookViewId="0">
      <selection activeCell="K10" sqref="K10"/>
    </sheetView>
  </sheetViews>
  <sheetFormatPr defaultColWidth="8.87692307692308" defaultRowHeight="15.5"/>
  <cols>
    <col min="1" max="1" width="8.87692307692308" style="1"/>
  </cols>
  <sheetData>
    <row r="1" spans="1:9">
      <c r="A1" s="33" t="s">
        <v>226</v>
      </c>
      <c r="B1" s="33" t="s">
        <v>227</v>
      </c>
      <c r="C1" s="33" t="s">
        <v>228</v>
      </c>
      <c r="D1" s="33" t="s">
        <v>229</v>
      </c>
      <c r="E1" s="33" t="s">
        <v>230</v>
      </c>
      <c r="F1" s="33" t="s">
        <v>231</v>
      </c>
      <c r="G1" s="33" t="s">
        <v>232</v>
      </c>
      <c r="H1" s="33" t="s">
        <v>233</v>
      </c>
      <c r="I1" s="33" t="s">
        <v>234</v>
      </c>
    </row>
    <row r="2" spans="1:16">
      <c r="A2" s="33"/>
      <c r="B2" s="34" t="s">
        <v>235</v>
      </c>
      <c r="C2" s="34" t="s">
        <v>236</v>
      </c>
      <c r="D2" s="4">
        <v>153.883430824811</v>
      </c>
      <c r="E2" s="4">
        <v>154.280555581194</v>
      </c>
      <c r="F2" s="4">
        <v>167.879742674573</v>
      </c>
      <c r="G2" s="4">
        <v>135.207833083717</v>
      </c>
      <c r="H2" s="4">
        <v>170.495009009071</v>
      </c>
      <c r="I2" s="4">
        <v>200.100226699152</v>
      </c>
      <c r="K2" s="36"/>
      <c r="M2" s="36"/>
      <c r="N2" s="36"/>
      <c r="O2" s="36"/>
      <c r="P2" s="36"/>
    </row>
    <row r="3" spans="1:16">
      <c r="A3" s="33"/>
      <c r="B3" s="34" t="s">
        <v>237</v>
      </c>
      <c r="C3" s="34" t="s">
        <v>238</v>
      </c>
      <c r="D3" s="4">
        <v>273.655117781387</v>
      </c>
      <c r="E3" s="4">
        <v>109.153238261062</v>
      </c>
      <c r="F3" s="4">
        <v>259.397797335815</v>
      </c>
      <c r="G3" s="4">
        <v>322.139283285382</v>
      </c>
      <c r="H3" s="4">
        <v>188.541497562375</v>
      </c>
      <c r="I3" s="4">
        <v>265.6413002141</v>
      </c>
      <c r="K3" s="36"/>
      <c r="L3" s="36"/>
      <c r="M3" s="36"/>
      <c r="N3" s="36"/>
      <c r="O3" s="36"/>
      <c r="P3" s="36"/>
    </row>
    <row r="4" spans="1:16">
      <c r="A4" s="33"/>
      <c r="B4" s="34" t="s">
        <v>239</v>
      </c>
      <c r="C4" s="34" t="s">
        <v>240</v>
      </c>
      <c r="D4" s="4">
        <v>381.612522057528</v>
      </c>
      <c r="E4" s="4">
        <v>155.585756758331</v>
      </c>
      <c r="F4" s="4">
        <v>366.004312127985</v>
      </c>
      <c r="G4" s="4">
        <v>420.818451066157</v>
      </c>
      <c r="H4" s="4">
        <v>337.487500778181</v>
      </c>
      <c r="I4" s="4">
        <v>448.324350578231</v>
      </c>
      <c r="K4" s="36"/>
      <c r="L4" s="36"/>
      <c r="M4" s="36"/>
      <c r="N4" s="36"/>
      <c r="O4" s="36"/>
      <c r="P4" s="36"/>
    </row>
    <row r="5" spans="1:16">
      <c r="A5" s="33"/>
      <c r="B5" s="34" t="s">
        <v>241</v>
      </c>
      <c r="C5" s="34" t="s">
        <v>242</v>
      </c>
      <c r="D5" s="4">
        <v>138.475961228348</v>
      </c>
      <c r="E5" s="4">
        <v>52.9927880799968</v>
      </c>
      <c r="F5" s="4">
        <v>134.735868086079</v>
      </c>
      <c r="G5" s="4">
        <v>196.353282963683</v>
      </c>
      <c r="H5" s="4">
        <v>125.184450807335</v>
      </c>
      <c r="I5" s="4">
        <v>205.015562292164</v>
      </c>
      <c r="K5" s="36"/>
      <c r="L5" s="36"/>
      <c r="M5" s="36"/>
      <c r="N5" s="36"/>
      <c r="O5" s="36"/>
      <c r="P5" s="36"/>
    </row>
    <row r="6" spans="1:9">
      <c r="A6" s="33"/>
      <c r="B6" s="34" t="s">
        <v>243</v>
      </c>
      <c r="C6" s="34" t="s">
        <v>244</v>
      </c>
      <c r="D6" s="4">
        <v>86.6919994909004</v>
      </c>
      <c r="E6" s="4">
        <v>159.998996212461</v>
      </c>
      <c r="F6" s="4">
        <v>100.199008459026</v>
      </c>
      <c r="G6" s="4">
        <v>150.849170979202</v>
      </c>
      <c r="H6" s="4">
        <v>135.79037259718</v>
      </c>
      <c r="I6" s="4">
        <v>146.136894566322</v>
      </c>
    </row>
    <row r="7" spans="1:15">
      <c r="A7" s="35"/>
      <c r="B7" s="36"/>
      <c r="C7" s="36"/>
      <c r="D7" s="36"/>
      <c r="E7" s="36"/>
      <c r="F7" s="36"/>
      <c r="G7" s="36"/>
      <c r="H7" s="36"/>
      <c r="I7" s="36"/>
      <c r="L7" s="36"/>
      <c r="M7" s="36"/>
      <c r="N7" s="36"/>
      <c r="O7" s="36"/>
    </row>
    <row r="8" spans="1:15">
      <c r="A8" s="33" t="s">
        <v>245</v>
      </c>
      <c r="B8" s="33" t="s">
        <v>227</v>
      </c>
      <c r="C8" s="33" t="s">
        <v>228</v>
      </c>
      <c r="D8" s="33" t="s">
        <v>229</v>
      </c>
      <c r="E8" s="33" t="s">
        <v>230</v>
      </c>
      <c r="F8" s="33" t="s">
        <v>231</v>
      </c>
      <c r="G8" s="33" t="s">
        <v>232</v>
      </c>
      <c r="H8" s="33" t="s">
        <v>233</v>
      </c>
      <c r="I8" s="33" t="s">
        <v>234</v>
      </c>
      <c r="L8" s="36"/>
      <c r="M8" s="36"/>
      <c r="N8" s="36"/>
      <c r="O8" s="36"/>
    </row>
    <row r="9" spans="1:15">
      <c r="A9" s="33"/>
      <c r="B9" s="34" t="s">
        <v>235</v>
      </c>
      <c r="C9" s="34" t="s">
        <v>236</v>
      </c>
      <c r="D9" s="4">
        <v>103.486141084243</v>
      </c>
      <c r="E9" s="4">
        <v>407.194309052337</v>
      </c>
      <c r="F9" s="4">
        <v>202.346879816172</v>
      </c>
      <c r="G9" s="4">
        <v>159.098824257416</v>
      </c>
      <c r="H9" s="4">
        <v>210.451026011887</v>
      </c>
      <c r="I9" s="4">
        <v>44.1105948774675</v>
      </c>
      <c r="L9" s="36"/>
      <c r="M9" s="36"/>
      <c r="N9" s="36"/>
      <c r="O9" s="36"/>
    </row>
    <row r="10" spans="1:9">
      <c r="A10" s="33"/>
      <c r="B10" s="34" t="s">
        <v>237</v>
      </c>
      <c r="C10" s="34" t="s">
        <v>238</v>
      </c>
      <c r="D10" s="4">
        <v>405.910075466182</v>
      </c>
      <c r="E10" s="4">
        <v>409.749921870657</v>
      </c>
      <c r="F10" s="4">
        <v>470.825724537397</v>
      </c>
      <c r="G10" s="4">
        <v>577.957623684665</v>
      </c>
      <c r="H10" s="4">
        <v>489.682652342861</v>
      </c>
      <c r="I10" s="4">
        <v>395.887974946309</v>
      </c>
    </row>
    <row r="11" spans="1:9">
      <c r="A11" s="33"/>
      <c r="B11" s="34" t="s">
        <v>239</v>
      </c>
      <c r="C11" s="34" t="s">
        <v>240</v>
      </c>
      <c r="D11" s="4">
        <v>238.853275807772</v>
      </c>
      <c r="E11" s="4">
        <v>295.323030460063</v>
      </c>
      <c r="F11" s="4">
        <v>358.73380166708</v>
      </c>
      <c r="G11" s="4">
        <v>236.064375781642</v>
      </c>
      <c r="H11" s="4">
        <v>253.427340797472</v>
      </c>
      <c r="I11" s="4">
        <v>292.151434704237</v>
      </c>
    </row>
    <row r="12" spans="1:9">
      <c r="A12" s="33"/>
      <c r="B12" s="34" t="s">
        <v>241</v>
      </c>
      <c r="C12" s="34" t="s">
        <v>242</v>
      </c>
      <c r="D12" s="4">
        <v>255.509657704443</v>
      </c>
      <c r="E12" s="4">
        <v>295.160043033366</v>
      </c>
      <c r="F12" s="4">
        <v>302.69827268052</v>
      </c>
      <c r="G12" s="4">
        <v>475.343575216725</v>
      </c>
      <c r="H12" s="4">
        <v>388.17805031504</v>
      </c>
      <c r="I12" s="4">
        <v>380.544601877092</v>
      </c>
    </row>
    <row r="13" spans="1:9">
      <c r="A13" s="33"/>
      <c r="B13" s="34" t="s">
        <v>243</v>
      </c>
      <c r="C13" s="34" t="s">
        <v>244</v>
      </c>
      <c r="D13" s="4">
        <v>112.750614667023</v>
      </c>
      <c r="E13" s="4">
        <v>241.989760808246</v>
      </c>
      <c r="F13" s="4">
        <v>266.391273205608</v>
      </c>
      <c r="G13" s="4">
        <v>213.582054278629</v>
      </c>
      <c r="H13" s="4">
        <v>515.905658051998</v>
      </c>
      <c r="I13" s="4">
        <v>90.1116438211122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G12"/>
  <sheetViews>
    <sheetView zoomScale="60" zoomScaleNormal="60" workbookViewId="0">
      <selection activeCell="I8" sqref="I8"/>
    </sheetView>
  </sheetViews>
  <sheetFormatPr defaultColWidth="8.87692307692308" defaultRowHeight="15.5" outlineLevelCol="6"/>
  <cols>
    <col min="1" max="1" width="29.4692307692308" style="1" customWidth="1"/>
  </cols>
  <sheetData>
    <row r="1" s="1" customFormat="1" spans="1:7">
      <c r="A1" s="33" t="s">
        <v>246</v>
      </c>
      <c r="B1" s="33" t="s">
        <v>247</v>
      </c>
      <c r="C1" s="33" t="s">
        <v>248</v>
      </c>
      <c r="D1" s="33" t="s">
        <v>249</v>
      </c>
      <c r="E1" s="33" t="s">
        <v>250</v>
      </c>
      <c r="F1" s="33" t="s">
        <v>251</v>
      </c>
      <c r="G1" s="33" t="s">
        <v>252</v>
      </c>
    </row>
    <row r="2" spans="1:7">
      <c r="A2" s="33" t="s">
        <v>253</v>
      </c>
      <c r="B2" s="4">
        <v>291.50732388223</v>
      </c>
      <c r="C2" s="4">
        <v>202.90159877855</v>
      </c>
      <c r="D2" s="4">
        <v>293.345226420735</v>
      </c>
      <c r="E2" s="4">
        <v>175.579998963776</v>
      </c>
      <c r="F2" s="4">
        <v>193.318388005352</v>
      </c>
      <c r="G2" s="4">
        <v>215.83935323737</v>
      </c>
    </row>
    <row r="3" spans="1:7">
      <c r="A3" s="33" t="s">
        <v>254</v>
      </c>
      <c r="B3" s="4">
        <v>0.575436342543426</v>
      </c>
      <c r="C3" s="4">
        <v>0.559343200131149</v>
      </c>
      <c r="D3" s="4">
        <v>1.46263399813216</v>
      </c>
      <c r="E3" s="4">
        <v>0.57020570561759</v>
      </c>
      <c r="F3" s="4">
        <v>0.734562213623143</v>
      </c>
      <c r="G3" s="4">
        <v>1.26784145921999</v>
      </c>
    </row>
    <row r="4" spans="1:7">
      <c r="A4" s="33" t="s">
        <v>255</v>
      </c>
      <c r="B4" s="4">
        <v>16.9854924524933</v>
      </c>
      <c r="C4" s="4">
        <v>37.4238773485088</v>
      </c>
      <c r="D4" s="4">
        <v>20.8959634444849</v>
      </c>
      <c r="E4" s="4">
        <v>18.8484047747829</v>
      </c>
      <c r="F4" s="4">
        <v>21.9535513687862</v>
      </c>
      <c r="G4" s="4">
        <v>17.5596598817762</v>
      </c>
    </row>
    <row r="5" spans="1:7">
      <c r="A5" s="33" t="s">
        <v>256</v>
      </c>
      <c r="B5" s="4">
        <v>0.560975202107422</v>
      </c>
      <c r="C5" s="4">
        <v>0</v>
      </c>
      <c r="D5" s="4">
        <v>0.072587713475328</v>
      </c>
      <c r="E5" s="4">
        <v>0</v>
      </c>
      <c r="F5" s="4">
        <v>0.223370063335231</v>
      </c>
      <c r="G5" s="4">
        <v>0</v>
      </c>
    </row>
    <row r="6" spans="1:7">
      <c r="A6" s="33" t="s">
        <v>257</v>
      </c>
      <c r="B6" s="4">
        <v>13.6251785335592</v>
      </c>
      <c r="C6" s="4">
        <v>5.85431523654157</v>
      </c>
      <c r="D6" s="4">
        <v>12.0412451234273</v>
      </c>
      <c r="E6" s="4">
        <v>17.8356622808434</v>
      </c>
      <c r="F6" s="4">
        <v>18.1435997688511</v>
      </c>
      <c r="G6" s="4">
        <v>17.2055564777464</v>
      </c>
    </row>
    <row r="7" spans="1:7">
      <c r="A7" s="33" t="s">
        <v>258</v>
      </c>
      <c r="B7" s="4">
        <v>186.361152894871</v>
      </c>
      <c r="C7" s="4">
        <v>128.757138176961</v>
      </c>
      <c r="D7" s="4">
        <v>155.927241098169</v>
      </c>
      <c r="E7" s="4">
        <v>166.016680402055</v>
      </c>
      <c r="F7" s="4">
        <v>144.089391925833</v>
      </c>
      <c r="G7" s="4">
        <v>137.205214978202</v>
      </c>
    </row>
    <row r="8" spans="1:7">
      <c r="A8" s="33" t="s">
        <v>259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0.7</v>
      </c>
    </row>
    <row r="9" spans="1:7">
      <c r="A9" s="33" t="s">
        <v>260</v>
      </c>
      <c r="B9" s="4">
        <v>52.6773272400351</v>
      </c>
      <c r="C9" s="4">
        <v>41.6073827858857</v>
      </c>
      <c r="D9" s="4">
        <v>55.1567247424376</v>
      </c>
      <c r="E9" s="4">
        <v>52.2149598654061</v>
      </c>
      <c r="F9" s="4">
        <v>44.0004488850411</v>
      </c>
      <c r="G9" s="4">
        <v>43.3352806027285</v>
      </c>
    </row>
    <row r="10" spans="1:7">
      <c r="A10" s="33" t="s">
        <v>261</v>
      </c>
      <c r="B10" s="4">
        <v>884.126076596413</v>
      </c>
      <c r="C10" s="4">
        <v>798.520108342179</v>
      </c>
      <c r="D10" s="4">
        <v>813.999103188606</v>
      </c>
      <c r="E10" s="4">
        <v>966.448189834848</v>
      </c>
      <c r="F10" s="4">
        <v>872.649846570039</v>
      </c>
      <c r="G10" s="4">
        <v>840.946944656982</v>
      </c>
    </row>
    <row r="11" spans="1:7">
      <c r="A11" s="33" t="s">
        <v>262</v>
      </c>
      <c r="B11" s="4">
        <v>104.980722956899</v>
      </c>
      <c r="C11" s="4">
        <v>68.7197358883341</v>
      </c>
      <c r="D11" s="4">
        <v>87.9704402280186</v>
      </c>
      <c r="E11" s="4">
        <v>87.8120419377962</v>
      </c>
      <c r="F11" s="4">
        <v>82.6986523416511</v>
      </c>
      <c r="G11" s="4">
        <v>66.7461475231081</v>
      </c>
    </row>
    <row r="12" spans="1:7">
      <c r="A12" s="33" t="s">
        <v>168</v>
      </c>
      <c r="B12" s="4">
        <v>1.00376475660764</v>
      </c>
      <c r="C12" s="4">
        <v>0</v>
      </c>
      <c r="D12" s="4">
        <v>0.329669198700448</v>
      </c>
      <c r="E12" s="4">
        <v>2.57516315549194</v>
      </c>
      <c r="F12" s="4">
        <v>3.16323739409197</v>
      </c>
      <c r="G12" s="4">
        <v>5.84934107321325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H26"/>
  <sheetViews>
    <sheetView zoomScale="115" zoomScaleNormal="115" topLeftCell="A7" workbookViewId="0">
      <selection activeCell="E11" sqref="E11"/>
    </sheetView>
  </sheetViews>
  <sheetFormatPr defaultColWidth="8.87692307692308" defaultRowHeight="15.5" outlineLevelCol="7"/>
  <cols>
    <col min="1" max="1" width="8.87692307692308" style="1"/>
  </cols>
  <sheetData>
    <row r="1" s="1" customFormat="1" spans="1:1">
      <c r="A1" s="1" t="s">
        <v>263</v>
      </c>
    </row>
    <row r="2" s="1" customFormat="1" ht="18.5" spans="1:4">
      <c r="A2" s="3" t="s">
        <v>264</v>
      </c>
      <c r="B2" s="3" t="s">
        <v>214</v>
      </c>
      <c r="C2" s="3" t="s">
        <v>215</v>
      </c>
      <c r="D2" s="3" t="s">
        <v>216</v>
      </c>
    </row>
    <row r="3" spans="1:4">
      <c r="A3" s="3">
        <v>0</v>
      </c>
      <c r="B3" s="4">
        <v>8.81</v>
      </c>
      <c r="C3" s="4">
        <v>7.79</v>
      </c>
      <c r="D3" s="4">
        <v>8.09</v>
      </c>
    </row>
    <row r="4" spans="1:4">
      <c r="A4" s="3">
        <v>3</v>
      </c>
      <c r="B4" s="4">
        <v>6.73</v>
      </c>
      <c r="C4" s="4">
        <v>4.15</v>
      </c>
      <c r="D4" s="4">
        <v>5.77</v>
      </c>
    </row>
    <row r="5" spans="1:4">
      <c r="A5" s="3">
        <v>6</v>
      </c>
      <c r="B5" s="4">
        <v>5.35</v>
      </c>
      <c r="C5" s="4">
        <v>3.72</v>
      </c>
      <c r="D5" s="4">
        <v>4.74</v>
      </c>
    </row>
    <row r="6" spans="1:4">
      <c r="A6" s="3">
        <v>9</v>
      </c>
      <c r="B6" s="4">
        <v>4.48</v>
      </c>
      <c r="C6" s="4">
        <v>2.52</v>
      </c>
      <c r="D6" s="4">
        <v>3.88</v>
      </c>
    </row>
    <row r="7" spans="1:4">
      <c r="A7" s="3">
        <v>12</v>
      </c>
      <c r="B7" s="4">
        <v>3.77</v>
      </c>
      <c r="C7" s="4">
        <v>1.48</v>
      </c>
      <c r="D7" s="4">
        <v>3.21</v>
      </c>
    </row>
    <row r="8" spans="1:4">
      <c r="A8" s="3">
        <v>15</v>
      </c>
      <c r="B8" s="4">
        <v>3.7</v>
      </c>
      <c r="C8" s="4">
        <v>0.59</v>
      </c>
      <c r="D8" s="4">
        <v>2.7</v>
      </c>
    </row>
    <row r="9" spans="1:4">
      <c r="A9" s="3">
        <v>18</v>
      </c>
      <c r="B9" s="4">
        <v>2.33</v>
      </c>
      <c r="C9" s="4">
        <v>0.69</v>
      </c>
      <c r="D9" s="4">
        <v>2.09</v>
      </c>
    </row>
    <row r="10" spans="1:5">
      <c r="A10" s="1" t="s">
        <v>265</v>
      </c>
      <c r="E10" s="31"/>
    </row>
    <row r="11" s="1" customFormat="1" ht="18.5" spans="1:5">
      <c r="A11" s="3" t="s">
        <v>264</v>
      </c>
      <c r="B11" s="3" t="s">
        <v>214</v>
      </c>
      <c r="C11" s="3" t="s">
        <v>215</v>
      </c>
      <c r="D11" s="3" t="s">
        <v>216</v>
      </c>
      <c r="E11" s="32"/>
    </row>
    <row r="12" spans="1:8">
      <c r="A12" s="3">
        <v>0</v>
      </c>
      <c r="B12" s="4">
        <v>8.41</v>
      </c>
      <c r="C12" s="4">
        <v>7.99</v>
      </c>
      <c r="D12" s="4">
        <v>8.09</v>
      </c>
      <c r="H12" s="31"/>
    </row>
    <row r="13" spans="1:8">
      <c r="A13" s="3">
        <v>3</v>
      </c>
      <c r="B13" s="4">
        <v>6.22</v>
      </c>
      <c r="C13" s="4">
        <v>5.69</v>
      </c>
      <c r="D13" s="4">
        <v>6.21</v>
      </c>
      <c r="H13" s="31"/>
    </row>
    <row r="14" spans="1:8">
      <c r="A14" s="3">
        <v>6</v>
      </c>
      <c r="B14" s="4">
        <v>6.02</v>
      </c>
      <c r="C14" s="4">
        <v>4.68</v>
      </c>
      <c r="D14" s="4">
        <v>5.82</v>
      </c>
      <c r="H14" s="31"/>
    </row>
    <row r="15" spans="1:8">
      <c r="A15" s="3">
        <v>9</v>
      </c>
      <c r="B15" s="4">
        <v>5.08</v>
      </c>
      <c r="C15" s="4">
        <v>4.22</v>
      </c>
      <c r="D15" s="4">
        <v>5.39</v>
      </c>
      <c r="H15" s="31"/>
    </row>
    <row r="16" spans="1:8">
      <c r="A16" s="3">
        <v>12</v>
      </c>
      <c r="B16" s="4">
        <v>4.99</v>
      </c>
      <c r="C16" s="4">
        <v>4.07</v>
      </c>
      <c r="D16" s="4">
        <v>4.89</v>
      </c>
      <c r="H16" s="31"/>
    </row>
    <row r="17" spans="1:8">
      <c r="A17" s="3">
        <v>15</v>
      </c>
      <c r="B17" s="4">
        <v>4.92</v>
      </c>
      <c r="C17" s="4">
        <v>3.37</v>
      </c>
      <c r="D17" s="4">
        <v>5.12</v>
      </c>
      <c r="H17" s="31"/>
    </row>
    <row r="18" spans="1:8">
      <c r="A18" s="3">
        <v>18</v>
      </c>
      <c r="B18" s="4">
        <v>4.92</v>
      </c>
      <c r="C18" s="4">
        <v>2.68</v>
      </c>
      <c r="D18" s="4">
        <v>5.1</v>
      </c>
      <c r="H18" s="31"/>
    </row>
    <row r="19" spans="8:8">
      <c r="H19" s="31"/>
    </row>
    <row r="20" spans="8:8">
      <c r="H20" s="31"/>
    </row>
    <row r="21" spans="8:8">
      <c r="H21" s="31"/>
    </row>
    <row r="22" spans="8:8">
      <c r="H22" s="31"/>
    </row>
    <row r="23" spans="8:8">
      <c r="H23" s="31"/>
    </row>
    <row r="24" spans="8:8">
      <c r="H24" s="31"/>
    </row>
    <row r="25" spans="8:8">
      <c r="H25" s="31"/>
    </row>
    <row r="26" spans="5:8">
      <c r="E26" s="31"/>
      <c r="F26" s="31"/>
      <c r="G26" s="31"/>
      <c r="H26" s="31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27"/>
  <sheetViews>
    <sheetView zoomScale="70" zoomScaleNormal="70" workbookViewId="0">
      <selection activeCell="H14" sqref="H14"/>
    </sheetView>
  </sheetViews>
  <sheetFormatPr defaultColWidth="8.87692307692308" defaultRowHeight="15.5" outlineLevelCol="6"/>
  <cols>
    <col min="1" max="1" width="8.87692307692308" style="1"/>
  </cols>
  <sheetData>
    <row r="1" spans="1:1">
      <c r="A1" s="1" t="s">
        <v>266</v>
      </c>
    </row>
    <row r="2" s="1" customFormat="1" spans="1:6">
      <c r="A2" s="3" t="s">
        <v>267</v>
      </c>
      <c r="B2" s="17">
        <v>0</v>
      </c>
      <c r="C2" s="18">
        <v>0.001</v>
      </c>
      <c r="D2" s="17">
        <v>0.01</v>
      </c>
      <c r="E2" s="17">
        <v>0.05</v>
      </c>
      <c r="F2" s="17">
        <v>0.1</v>
      </c>
    </row>
    <row r="3" spans="1:6">
      <c r="A3" s="3" t="s">
        <v>268</v>
      </c>
      <c r="B3" s="5">
        <v>2.96</v>
      </c>
      <c r="C3" s="5">
        <v>2.86</v>
      </c>
      <c r="D3" s="5">
        <v>2.88</v>
      </c>
      <c r="E3" s="5">
        <v>2.87</v>
      </c>
      <c r="F3" s="5">
        <v>3.01</v>
      </c>
    </row>
    <row r="4" spans="1:6">
      <c r="A4" s="3" t="s">
        <v>269</v>
      </c>
      <c r="B4" s="5">
        <v>2.53</v>
      </c>
      <c r="C4" s="5">
        <v>2.53</v>
      </c>
      <c r="D4" s="5">
        <v>2.37</v>
      </c>
      <c r="E4" s="5">
        <v>2.34</v>
      </c>
      <c r="F4" s="5">
        <v>2.15</v>
      </c>
    </row>
    <row r="5" spans="1:6">
      <c r="A5" s="3" t="s">
        <v>270</v>
      </c>
      <c r="B5" s="5">
        <v>2.35</v>
      </c>
      <c r="C5" s="5">
        <v>2.21</v>
      </c>
      <c r="D5" s="5">
        <v>2.16</v>
      </c>
      <c r="E5" s="5">
        <v>1.78</v>
      </c>
      <c r="F5" s="5">
        <v>1.57</v>
      </c>
    </row>
    <row r="6" spans="1:6">
      <c r="A6" s="3" t="s">
        <v>271</v>
      </c>
      <c r="B6" s="5">
        <v>2.29</v>
      </c>
      <c r="C6" s="5">
        <v>2.2</v>
      </c>
      <c r="D6" s="5">
        <v>1.99</v>
      </c>
      <c r="E6" s="5">
        <v>1.43</v>
      </c>
      <c r="F6" s="5">
        <v>1.19</v>
      </c>
    </row>
    <row r="7" spans="1:6">
      <c r="A7" s="3" t="s">
        <v>272</v>
      </c>
      <c r="B7" s="5">
        <v>2.17</v>
      </c>
      <c r="C7" s="5">
        <v>2.1</v>
      </c>
      <c r="D7" s="5">
        <v>1.94</v>
      </c>
      <c r="E7" s="5">
        <v>1.05</v>
      </c>
      <c r="F7" s="5">
        <v>0.61</v>
      </c>
    </row>
    <row r="8" spans="1:6">
      <c r="A8" s="3" t="s">
        <v>273</v>
      </c>
      <c r="B8" s="5">
        <v>2.21</v>
      </c>
      <c r="C8" s="5">
        <v>2.16</v>
      </c>
      <c r="D8" s="5">
        <v>1.89</v>
      </c>
      <c r="E8" s="5">
        <v>0.71</v>
      </c>
      <c r="F8" s="5">
        <v>0.23</v>
      </c>
    </row>
    <row r="9" spans="1:6">
      <c r="A9" s="3" t="s">
        <v>274</v>
      </c>
      <c r="B9" s="5">
        <v>2.23</v>
      </c>
      <c r="C9" s="5">
        <v>2.19</v>
      </c>
      <c r="D9" s="5">
        <v>1.93</v>
      </c>
      <c r="E9" s="5">
        <v>0.73</v>
      </c>
      <c r="F9" s="5">
        <v>0</v>
      </c>
    </row>
    <row r="10" spans="2:6">
      <c r="B10" s="29"/>
      <c r="C10" s="30"/>
      <c r="D10" s="29"/>
      <c r="E10" s="29"/>
      <c r="F10" s="29"/>
    </row>
    <row r="11" spans="1:7">
      <c r="A11" s="3" t="s">
        <v>275</v>
      </c>
      <c r="B11" s="17">
        <v>0</v>
      </c>
      <c r="C11" s="18">
        <v>0.001</v>
      </c>
      <c r="D11" s="17">
        <v>0.01</v>
      </c>
      <c r="E11" s="17">
        <v>0.05</v>
      </c>
      <c r="F11" s="17">
        <v>0.1</v>
      </c>
      <c r="G11" s="1"/>
    </row>
    <row r="12" spans="1:6">
      <c r="A12" s="3" t="s">
        <v>268</v>
      </c>
      <c r="B12" s="5">
        <v>2.92</v>
      </c>
      <c r="C12" s="5">
        <v>2.86</v>
      </c>
      <c r="D12" s="5">
        <v>2.85</v>
      </c>
      <c r="E12" s="5">
        <v>2.86</v>
      </c>
      <c r="F12" s="5">
        <v>3</v>
      </c>
    </row>
    <row r="13" spans="1:6">
      <c r="A13" s="3" t="s">
        <v>269</v>
      </c>
      <c r="B13" s="5">
        <v>2.58</v>
      </c>
      <c r="C13" s="5">
        <v>2.54</v>
      </c>
      <c r="D13" s="5">
        <v>2.37</v>
      </c>
      <c r="E13" s="5">
        <v>2.35</v>
      </c>
      <c r="F13" s="5">
        <v>2.26</v>
      </c>
    </row>
    <row r="14" spans="1:6">
      <c r="A14" s="3" t="s">
        <v>270</v>
      </c>
      <c r="B14" s="5">
        <v>2.39</v>
      </c>
      <c r="C14" s="5">
        <v>2.21</v>
      </c>
      <c r="D14" s="5">
        <v>2.14</v>
      </c>
      <c r="E14" s="5">
        <v>1.84</v>
      </c>
      <c r="F14" s="5">
        <v>1.59</v>
      </c>
    </row>
    <row r="15" spans="1:6">
      <c r="A15" s="3" t="s">
        <v>271</v>
      </c>
      <c r="B15" s="5">
        <v>2.17</v>
      </c>
      <c r="C15" s="5">
        <v>2.18</v>
      </c>
      <c r="D15" s="5">
        <v>1.96</v>
      </c>
      <c r="E15" s="5">
        <v>1.45</v>
      </c>
      <c r="F15" s="5">
        <v>1.07</v>
      </c>
    </row>
    <row r="16" spans="1:6">
      <c r="A16" s="3" t="s">
        <v>272</v>
      </c>
      <c r="B16" s="5">
        <v>2.17</v>
      </c>
      <c r="C16" s="5">
        <v>2.06</v>
      </c>
      <c r="D16" s="5">
        <v>1.91</v>
      </c>
      <c r="E16" s="5">
        <v>1.17</v>
      </c>
      <c r="F16" s="5">
        <v>0.7</v>
      </c>
    </row>
    <row r="17" spans="1:6">
      <c r="A17" s="3" t="s">
        <v>273</v>
      </c>
      <c r="B17" s="5">
        <v>2.2</v>
      </c>
      <c r="C17" s="5">
        <v>2.15</v>
      </c>
      <c r="D17" s="5">
        <v>1.89</v>
      </c>
      <c r="E17" s="5">
        <v>0.87</v>
      </c>
      <c r="F17" s="5">
        <v>0.23</v>
      </c>
    </row>
    <row r="18" spans="1:6">
      <c r="A18" s="3" t="s">
        <v>274</v>
      </c>
      <c r="B18" s="5">
        <v>2.27</v>
      </c>
      <c r="C18" s="5">
        <v>2.2</v>
      </c>
      <c r="D18" s="5">
        <v>1.92</v>
      </c>
      <c r="E18" s="5">
        <v>0.64</v>
      </c>
      <c r="F18" s="5">
        <v>0</v>
      </c>
    </row>
    <row r="20" spans="1:6">
      <c r="A20" s="3" t="s">
        <v>276</v>
      </c>
      <c r="B20" s="17">
        <v>0</v>
      </c>
      <c r="C20" s="18">
        <v>0.001</v>
      </c>
      <c r="D20" s="17">
        <v>0.01</v>
      </c>
      <c r="E20" s="17">
        <v>0.05</v>
      </c>
      <c r="F20" s="17">
        <v>0.1</v>
      </c>
    </row>
    <row r="21" spans="1:6">
      <c r="A21" s="3" t="s">
        <v>268</v>
      </c>
      <c r="B21" s="5">
        <v>2.94</v>
      </c>
      <c r="C21" s="5">
        <v>2.86</v>
      </c>
      <c r="D21" s="5">
        <v>2.88</v>
      </c>
      <c r="E21" s="5">
        <v>2.87</v>
      </c>
      <c r="F21" s="5">
        <v>2.95</v>
      </c>
    </row>
    <row r="22" spans="1:6">
      <c r="A22" s="3" t="s">
        <v>269</v>
      </c>
      <c r="B22" s="5">
        <v>2.65</v>
      </c>
      <c r="C22" s="5">
        <v>2.55</v>
      </c>
      <c r="D22" s="5">
        <v>2.38</v>
      </c>
      <c r="E22" s="5">
        <v>2.31</v>
      </c>
      <c r="F22" s="5">
        <v>2.16</v>
      </c>
    </row>
    <row r="23" spans="1:6">
      <c r="A23" s="3" t="s">
        <v>270</v>
      </c>
      <c r="B23" s="5">
        <v>2.31</v>
      </c>
      <c r="C23" s="5">
        <v>2.37</v>
      </c>
      <c r="D23" s="5">
        <v>2.17</v>
      </c>
      <c r="E23" s="5">
        <v>1.81</v>
      </c>
      <c r="F23" s="5">
        <v>1.62</v>
      </c>
    </row>
    <row r="24" spans="1:6">
      <c r="A24" s="3" t="s">
        <v>271</v>
      </c>
      <c r="B24" s="5">
        <v>2.14</v>
      </c>
      <c r="C24" s="5">
        <v>2.14</v>
      </c>
      <c r="D24" s="5">
        <v>1.98</v>
      </c>
      <c r="E24" s="5">
        <v>1.45</v>
      </c>
      <c r="F24" s="5">
        <v>1.05</v>
      </c>
    </row>
    <row r="25" spans="1:6">
      <c r="A25" s="3" t="s">
        <v>272</v>
      </c>
      <c r="B25" s="5">
        <v>2.16</v>
      </c>
      <c r="C25" s="5">
        <v>2.05</v>
      </c>
      <c r="D25" s="5">
        <v>1.88</v>
      </c>
      <c r="E25" s="5">
        <v>1.12</v>
      </c>
      <c r="F25" s="5">
        <v>0.58</v>
      </c>
    </row>
    <row r="26" spans="1:6">
      <c r="A26" s="3" t="s">
        <v>273</v>
      </c>
      <c r="B26" s="5">
        <v>2.21</v>
      </c>
      <c r="C26" s="5">
        <v>2.17</v>
      </c>
      <c r="D26" s="5">
        <v>1.91</v>
      </c>
      <c r="E26" s="5">
        <v>0.84</v>
      </c>
      <c r="F26" s="5">
        <v>0.24</v>
      </c>
    </row>
    <row r="27" spans="1:6">
      <c r="A27" s="3" t="s">
        <v>274</v>
      </c>
      <c r="B27" s="5">
        <v>2.27</v>
      </c>
      <c r="C27" s="5">
        <v>2.16</v>
      </c>
      <c r="D27" s="5">
        <v>1.96</v>
      </c>
      <c r="E27" s="5">
        <v>0.7</v>
      </c>
      <c r="F27" s="5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F28"/>
  <sheetViews>
    <sheetView zoomScale="85" zoomScaleNormal="85" workbookViewId="0">
      <selection activeCell="H11" sqref="H11"/>
    </sheetView>
  </sheetViews>
  <sheetFormatPr defaultColWidth="8.87692307692308" defaultRowHeight="15.5" outlineLevelCol="5"/>
  <sheetData>
    <row r="1" spans="1:1">
      <c r="A1" s="1" t="s">
        <v>277</v>
      </c>
    </row>
    <row r="2" spans="1:6">
      <c r="A2" s="3" t="s">
        <v>267</v>
      </c>
      <c r="B2" s="17">
        <v>0</v>
      </c>
      <c r="C2" s="18">
        <v>0.001</v>
      </c>
      <c r="D2" s="17">
        <v>0.01</v>
      </c>
      <c r="E2" s="17">
        <v>0.05</v>
      </c>
      <c r="F2" s="17">
        <v>0.1</v>
      </c>
    </row>
    <row r="3" spans="1:6">
      <c r="A3" s="3" t="s">
        <v>268</v>
      </c>
      <c r="B3" s="5">
        <v>0.002</v>
      </c>
      <c r="C3" s="5">
        <v>0.003</v>
      </c>
      <c r="D3" s="5">
        <v>0.003</v>
      </c>
      <c r="E3" s="5">
        <v>0.004</v>
      </c>
      <c r="F3" s="5">
        <v>0.004</v>
      </c>
    </row>
    <row r="4" spans="1:6">
      <c r="A4" s="3" t="s">
        <v>269</v>
      </c>
      <c r="B4" s="5">
        <v>0.078</v>
      </c>
      <c r="C4" s="5">
        <v>0.004</v>
      </c>
      <c r="D4" s="5">
        <v>0.004</v>
      </c>
      <c r="E4" s="5">
        <v>0.016</v>
      </c>
      <c r="F4" s="5">
        <v>0</v>
      </c>
    </row>
    <row r="5" spans="1:6">
      <c r="A5" s="3" t="s">
        <v>270</v>
      </c>
      <c r="B5" s="5">
        <v>0.109</v>
      </c>
      <c r="C5" s="5">
        <v>0.006</v>
      </c>
      <c r="D5" s="5">
        <v>0.006</v>
      </c>
      <c r="E5" s="5">
        <v>0.008</v>
      </c>
      <c r="F5" s="5">
        <v>0</v>
      </c>
    </row>
    <row r="6" spans="1:6">
      <c r="A6" s="3" t="s">
        <v>271</v>
      </c>
      <c r="B6" s="5">
        <v>0.074</v>
      </c>
      <c r="C6" s="5">
        <v>0.007</v>
      </c>
      <c r="D6" s="5">
        <v>0.007</v>
      </c>
      <c r="E6" s="5">
        <v>0.002</v>
      </c>
      <c r="F6" s="5">
        <v>0.01</v>
      </c>
    </row>
    <row r="7" spans="1:6">
      <c r="A7" s="3" t="s">
        <v>272</v>
      </c>
      <c r="B7" s="5">
        <v>0.07</v>
      </c>
      <c r="C7" s="5">
        <v>0.004</v>
      </c>
      <c r="D7" s="5">
        <v>0.004</v>
      </c>
      <c r="E7" s="5">
        <v>0.002</v>
      </c>
      <c r="F7" s="5">
        <v>0</v>
      </c>
    </row>
    <row r="8" spans="1:6">
      <c r="A8" s="3" t="s">
        <v>273</v>
      </c>
      <c r="B8" s="5">
        <v>0.09</v>
      </c>
      <c r="C8" s="5">
        <v>0.002</v>
      </c>
      <c r="D8" s="5">
        <v>0.002</v>
      </c>
      <c r="E8" s="5">
        <v>0.003</v>
      </c>
      <c r="F8" s="5">
        <v>0.001</v>
      </c>
    </row>
    <row r="9" spans="1:6">
      <c r="A9" s="3" t="s">
        <v>274</v>
      </c>
      <c r="B9" s="5">
        <v>0.086</v>
      </c>
      <c r="C9" s="5">
        <v>0.011</v>
      </c>
      <c r="D9" s="5">
        <v>0.011</v>
      </c>
      <c r="E9" s="5">
        <v>-0.001</v>
      </c>
      <c r="F9" s="5">
        <v>0.007</v>
      </c>
    </row>
    <row r="10" spans="1:1">
      <c r="A10" s="1"/>
    </row>
    <row r="11" spans="1:6">
      <c r="A11" s="3" t="s">
        <v>275</v>
      </c>
      <c r="B11" s="17">
        <v>0</v>
      </c>
      <c r="C11" s="18">
        <v>0.001</v>
      </c>
      <c r="D11" s="17">
        <v>0.01</v>
      </c>
      <c r="E11" s="17">
        <v>0.05</v>
      </c>
      <c r="F11" s="17">
        <v>0.1</v>
      </c>
    </row>
    <row r="12" spans="1:6">
      <c r="A12" s="3" t="s">
        <v>268</v>
      </c>
      <c r="B12" s="5">
        <v>0</v>
      </c>
      <c r="C12" s="5">
        <v>0.001</v>
      </c>
      <c r="D12" s="5">
        <v>0.01</v>
      </c>
      <c r="E12" s="5">
        <v>0.05</v>
      </c>
      <c r="F12" s="5">
        <v>0.1</v>
      </c>
    </row>
    <row r="13" spans="1:6">
      <c r="A13" s="3" t="s">
        <v>269</v>
      </c>
      <c r="B13" s="5">
        <v>0.002</v>
      </c>
      <c r="C13" s="5">
        <v>0.002</v>
      </c>
      <c r="D13" s="5">
        <v>0.002</v>
      </c>
      <c r="E13" s="5">
        <v>0.011</v>
      </c>
      <c r="F13" s="5">
        <v>0.018</v>
      </c>
    </row>
    <row r="14" spans="1:6">
      <c r="A14" s="3" t="s">
        <v>270</v>
      </c>
      <c r="B14" s="5">
        <v>0.094</v>
      </c>
      <c r="C14" s="5">
        <v>0.007</v>
      </c>
      <c r="D14" s="5">
        <v>0.007</v>
      </c>
      <c r="E14" s="5">
        <v>0.012</v>
      </c>
      <c r="F14" s="5">
        <v>0</v>
      </c>
    </row>
    <row r="15" spans="1:6">
      <c r="A15" s="3" t="s">
        <v>271</v>
      </c>
      <c r="B15" s="5">
        <v>0.07</v>
      </c>
      <c r="C15" s="5">
        <v>0.005</v>
      </c>
      <c r="D15" s="5">
        <v>0.005</v>
      </c>
      <c r="E15" s="5">
        <v>0.009</v>
      </c>
      <c r="F15" s="5">
        <v>0</v>
      </c>
    </row>
    <row r="16" spans="1:6">
      <c r="A16" s="3" t="s">
        <v>272</v>
      </c>
      <c r="B16" s="5">
        <v>0.14</v>
      </c>
      <c r="C16" s="5">
        <v>0.006</v>
      </c>
      <c r="D16" s="5">
        <v>0.006</v>
      </c>
      <c r="E16" s="5">
        <v>0.001</v>
      </c>
      <c r="F16" s="5">
        <v>0.013</v>
      </c>
    </row>
    <row r="17" spans="1:6">
      <c r="A17" s="3" t="s">
        <v>273</v>
      </c>
      <c r="B17" s="5">
        <v>0.074</v>
      </c>
      <c r="C17" s="5">
        <v>0.005</v>
      </c>
      <c r="D17" s="5">
        <v>0.005</v>
      </c>
      <c r="E17" s="5">
        <v>0.002</v>
      </c>
      <c r="F17" s="5">
        <v>0</v>
      </c>
    </row>
    <row r="18" spans="1:6">
      <c r="A18" s="3" t="s">
        <v>274</v>
      </c>
      <c r="B18" s="5">
        <v>0.076</v>
      </c>
      <c r="C18" s="5">
        <v>0.002</v>
      </c>
      <c r="D18" s="5">
        <v>0.002</v>
      </c>
      <c r="E18" s="5">
        <v>0.003</v>
      </c>
      <c r="F18" s="5">
        <v>0.001</v>
      </c>
    </row>
    <row r="19" spans="1:6">
      <c r="A19" s="3"/>
      <c r="B19" s="5">
        <v>0.068</v>
      </c>
      <c r="C19" s="5">
        <v>0.01</v>
      </c>
      <c r="D19" s="5">
        <v>0.01</v>
      </c>
      <c r="E19" s="5">
        <v>0.004</v>
      </c>
      <c r="F19" s="5">
        <v>0.007</v>
      </c>
    </row>
    <row r="20" spans="1:1">
      <c r="A20" s="1"/>
    </row>
    <row r="21" spans="1:6">
      <c r="A21" s="19" t="s">
        <v>276</v>
      </c>
      <c r="B21" s="20">
        <v>0</v>
      </c>
      <c r="C21" s="21">
        <v>0.001</v>
      </c>
      <c r="D21" s="20">
        <v>0.01</v>
      </c>
      <c r="E21" s="20">
        <v>0.05</v>
      </c>
      <c r="F21" s="22">
        <v>0.1</v>
      </c>
    </row>
    <row r="22" spans="1:6">
      <c r="A22" s="23" t="s">
        <v>268</v>
      </c>
      <c r="B22" s="24">
        <v>0.002</v>
      </c>
      <c r="C22" s="24">
        <v>0.002</v>
      </c>
      <c r="D22" s="24">
        <v>0.002</v>
      </c>
      <c r="E22" s="24">
        <v>0.003</v>
      </c>
      <c r="F22" s="25">
        <v>0.013</v>
      </c>
    </row>
    <row r="23" spans="1:6">
      <c r="A23" s="23" t="s">
        <v>269</v>
      </c>
      <c r="B23" s="24">
        <v>0.078</v>
      </c>
      <c r="C23" s="24">
        <v>0.01</v>
      </c>
      <c r="D23" s="24">
        <v>0.01</v>
      </c>
      <c r="E23" s="24">
        <v>0.016</v>
      </c>
      <c r="F23" s="25">
        <v>0</v>
      </c>
    </row>
    <row r="24" spans="1:6">
      <c r="A24" s="23" t="s">
        <v>270</v>
      </c>
      <c r="B24" s="24">
        <v>0.121</v>
      </c>
      <c r="C24" s="24">
        <v>0.006</v>
      </c>
      <c r="D24" s="24">
        <v>0.006</v>
      </c>
      <c r="E24" s="24">
        <v>0.004</v>
      </c>
      <c r="F24" s="25">
        <v>0</v>
      </c>
    </row>
    <row r="25" spans="1:6">
      <c r="A25" s="23" t="s">
        <v>271</v>
      </c>
      <c r="B25" s="24">
        <v>0.113</v>
      </c>
      <c r="C25" s="24">
        <v>0.007</v>
      </c>
      <c r="D25" s="24">
        <v>0.007</v>
      </c>
      <c r="E25" s="24">
        <v>0.002</v>
      </c>
      <c r="F25" s="25">
        <v>0.01</v>
      </c>
    </row>
    <row r="26" spans="1:6">
      <c r="A26" s="23" t="s">
        <v>272</v>
      </c>
      <c r="B26" s="24">
        <v>0.097</v>
      </c>
      <c r="C26" s="24">
        <v>0.004</v>
      </c>
      <c r="D26" s="24">
        <v>0.004</v>
      </c>
      <c r="E26" s="24">
        <v>0.002</v>
      </c>
      <c r="F26" s="25">
        <v>0</v>
      </c>
    </row>
    <row r="27" spans="1:6">
      <c r="A27" s="23" t="s">
        <v>273</v>
      </c>
      <c r="B27" s="24">
        <v>0.087</v>
      </c>
      <c r="C27" s="24">
        <v>0.003</v>
      </c>
      <c r="D27" s="24">
        <v>0.003</v>
      </c>
      <c r="E27" s="24">
        <v>0.003</v>
      </c>
      <c r="F27" s="25">
        <v>0.001</v>
      </c>
    </row>
    <row r="28" spans="1:6">
      <c r="A28" s="26" t="s">
        <v>274</v>
      </c>
      <c r="B28" s="27">
        <v>0.069</v>
      </c>
      <c r="C28" s="27">
        <v>0.011</v>
      </c>
      <c r="D28" s="27">
        <v>0.011</v>
      </c>
      <c r="E28" s="27">
        <v>0.001</v>
      </c>
      <c r="F28" s="28">
        <v>0.005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G27"/>
  <sheetViews>
    <sheetView workbookViewId="0">
      <selection activeCell="D6" sqref="D6"/>
    </sheetView>
  </sheetViews>
  <sheetFormatPr defaultColWidth="8.87692307692308" defaultRowHeight="15.5" outlineLevelCol="6"/>
  <cols>
    <col min="1" max="1" width="12.7" style="13" customWidth="1"/>
    <col min="2" max="2" width="10" style="2" customWidth="1"/>
    <col min="3" max="4" width="8.87692307692308" style="2"/>
    <col min="5" max="5" width="12.0615384615385" style="13" customWidth="1"/>
    <col min="6" max="6" width="28.4692307692308" style="2" customWidth="1"/>
    <col min="7" max="7" width="32.3538461538462" style="2" customWidth="1"/>
    <col min="8" max="16384" width="8.87692307692308" style="2"/>
  </cols>
  <sheetData>
    <row r="1" s="13" customFormat="1" ht="18.5" spans="1:7">
      <c r="A1" s="3" t="s">
        <v>220</v>
      </c>
      <c r="B1" s="3" t="s">
        <v>221</v>
      </c>
      <c r="C1" s="3" t="s">
        <v>278</v>
      </c>
      <c r="E1" s="3" t="s">
        <v>223</v>
      </c>
      <c r="F1" s="3" t="s">
        <v>279</v>
      </c>
      <c r="G1" s="3" t="s">
        <v>280</v>
      </c>
    </row>
    <row r="2" spans="1:7">
      <c r="A2" s="14">
        <v>-240</v>
      </c>
      <c r="B2" s="4">
        <v>0.43163</v>
      </c>
      <c r="C2" s="4">
        <v>181.95771</v>
      </c>
      <c r="D2" s="15"/>
      <c r="E2" s="14">
        <v>0</v>
      </c>
      <c r="F2" s="4">
        <v>0.09838</v>
      </c>
      <c r="G2" s="4">
        <v>0.14591</v>
      </c>
    </row>
    <row r="3" spans="1:7">
      <c r="A3" s="14">
        <v>-192</v>
      </c>
      <c r="B3" s="4">
        <v>0.41261</v>
      </c>
      <c r="C3" s="4">
        <v>181.76983</v>
      </c>
      <c r="D3" s="15"/>
      <c r="E3" s="14">
        <v>48</v>
      </c>
      <c r="F3" s="4">
        <v>-0.45467</v>
      </c>
      <c r="G3" s="4">
        <v>-0.76373</v>
      </c>
    </row>
    <row r="4" spans="1:7">
      <c r="A4" s="14">
        <v>-144</v>
      </c>
      <c r="B4" s="4">
        <v>0.42146</v>
      </c>
      <c r="C4" s="4">
        <v>181.79913</v>
      </c>
      <c r="D4" s="15"/>
      <c r="E4" s="14">
        <v>96</v>
      </c>
      <c r="F4" s="4">
        <v>-0.39783</v>
      </c>
      <c r="G4" s="4">
        <v>-2.38603</v>
      </c>
    </row>
    <row r="5" spans="1:7">
      <c r="A5" s="14">
        <v>-96</v>
      </c>
      <c r="B5" s="4">
        <v>0.44566</v>
      </c>
      <c r="C5" s="4">
        <v>181.30646</v>
      </c>
      <c r="D5" s="15"/>
      <c r="E5" s="14">
        <v>144</v>
      </c>
      <c r="F5" s="4">
        <v>-0.03873</v>
      </c>
      <c r="G5" s="4">
        <v>-2.01475</v>
      </c>
    </row>
    <row r="6" spans="1:7">
      <c r="A6" s="14">
        <v>-48</v>
      </c>
      <c r="B6" s="4">
        <v>0.4435</v>
      </c>
      <c r="C6" s="4">
        <v>181.09197</v>
      </c>
      <c r="D6" s="15"/>
      <c r="E6" s="14">
        <v>192</v>
      </c>
      <c r="F6" s="4">
        <v>-0.06378</v>
      </c>
      <c r="G6" s="4">
        <v>-0.74034</v>
      </c>
    </row>
    <row r="7" spans="1:7">
      <c r="A7" s="14">
        <v>0</v>
      </c>
      <c r="B7" s="4">
        <v>0.44935</v>
      </c>
      <c r="C7" s="4">
        <v>180.76162</v>
      </c>
      <c r="D7" s="15"/>
      <c r="E7" s="14">
        <v>240</v>
      </c>
      <c r="F7" s="4">
        <v>0.02687</v>
      </c>
      <c r="G7" s="4">
        <v>-0.49296</v>
      </c>
    </row>
    <row r="8" spans="1:7">
      <c r="A8" s="14">
        <v>48</v>
      </c>
      <c r="B8" s="4">
        <v>0.45842</v>
      </c>
      <c r="C8" s="4">
        <v>180.79721</v>
      </c>
      <c r="D8" s="15"/>
      <c r="E8" s="14">
        <v>300</v>
      </c>
      <c r="F8" s="4">
        <v>-0.06467</v>
      </c>
      <c r="G8" s="4">
        <v>-0.83056</v>
      </c>
    </row>
    <row r="9" spans="1:7">
      <c r="A9" s="14">
        <v>96</v>
      </c>
      <c r="B9" s="4">
        <v>0.41389</v>
      </c>
      <c r="C9" s="4">
        <v>180.59922</v>
      </c>
      <c r="D9" s="15"/>
      <c r="E9" s="14">
        <v>360</v>
      </c>
      <c r="F9" s="4">
        <v>0.00723</v>
      </c>
      <c r="G9" s="4">
        <v>-2.0293</v>
      </c>
    </row>
    <row r="10" spans="1:7">
      <c r="A10" s="14">
        <v>144</v>
      </c>
      <c r="B10" s="4">
        <v>0.3724</v>
      </c>
      <c r="C10" s="4">
        <v>179.94053</v>
      </c>
      <c r="D10" s="15"/>
      <c r="E10" s="14">
        <v>420</v>
      </c>
      <c r="F10" s="4">
        <v>-0.00867</v>
      </c>
      <c r="G10" s="4">
        <v>-0.64972</v>
      </c>
    </row>
    <row r="11" spans="1:7">
      <c r="A11" s="14">
        <v>192</v>
      </c>
      <c r="B11" s="4">
        <v>0.36809</v>
      </c>
      <c r="C11" s="4">
        <v>179.34706</v>
      </c>
      <c r="D11" s="15"/>
      <c r="E11" s="14">
        <v>480</v>
      </c>
      <c r="F11" s="4">
        <v>-0.01978</v>
      </c>
      <c r="G11" s="4">
        <v>-1.70281</v>
      </c>
    </row>
    <row r="12" spans="1:7">
      <c r="A12" s="14">
        <v>240</v>
      </c>
      <c r="B12" s="4">
        <v>0.3605</v>
      </c>
      <c r="C12" s="4">
        <v>179.11386</v>
      </c>
      <c r="D12" s="15"/>
      <c r="E12" s="14">
        <v>540</v>
      </c>
      <c r="F12" s="4">
        <v>-0.04102</v>
      </c>
      <c r="G12" s="4">
        <v>-1.13606</v>
      </c>
    </row>
    <row r="13" spans="1:7">
      <c r="A13" s="14">
        <v>300</v>
      </c>
      <c r="B13" s="4">
        <v>0.36478</v>
      </c>
      <c r="C13" s="4">
        <v>178.90582</v>
      </c>
      <c r="D13" s="15"/>
      <c r="E13" s="14">
        <v>600</v>
      </c>
      <c r="F13" s="4">
        <v>-0.02108</v>
      </c>
      <c r="G13" s="4">
        <v>-0.05378</v>
      </c>
    </row>
    <row r="14" spans="1:7">
      <c r="A14" s="14">
        <v>360</v>
      </c>
      <c r="B14" s="4">
        <v>0.3535</v>
      </c>
      <c r="C14" s="4">
        <v>178.5222</v>
      </c>
      <c r="D14" s="15"/>
      <c r="E14" s="14">
        <v>720</v>
      </c>
      <c r="F14" s="4">
        <v>-0.0172</v>
      </c>
      <c r="G14" s="4">
        <v>-0.44192</v>
      </c>
    </row>
    <row r="15" spans="1:7">
      <c r="A15" s="14">
        <v>420</v>
      </c>
      <c r="B15" s="4">
        <v>0.35489</v>
      </c>
      <c r="C15" s="4">
        <v>177.49203</v>
      </c>
      <c r="D15" s="15"/>
      <c r="E15" s="14">
        <v>840</v>
      </c>
      <c r="F15" s="4">
        <v>-0.00692</v>
      </c>
      <c r="G15" s="4">
        <v>-0.2767</v>
      </c>
    </row>
    <row r="16" spans="1:7">
      <c r="A16" s="14">
        <v>480</v>
      </c>
      <c r="B16" s="4">
        <v>0.35305</v>
      </c>
      <c r="C16" s="4">
        <v>177.1278</v>
      </c>
      <c r="D16" s="15"/>
      <c r="E16" s="14">
        <v>960</v>
      </c>
      <c r="F16" s="4">
        <v>-0.00365</v>
      </c>
      <c r="G16" s="4">
        <v>-0.06557</v>
      </c>
    </row>
    <row r="17" spans="1:7">
      <c r="A17" s="14">
        <v>540</v>
      </c>
      <c r="B17" s="4">
        <v>0.3484</v>
      </c>
      <c r="C17" s="4">
        <v>176.0682</v>
      </c>
      <c r="D17" s="15"/>
      <c r="E17" s="14">
        <v>1080</v>
      </c>
      <c r="F17" s="4">
        <v>-0.00573</v>
      </c>
      <c r="G17" s="4">
        <v>0.01419</v>
      </c>
    </row>
    <row r="18" spans="1:7">
      <c r="A18" s="14">
        <v>600</v>
      </c>
      <c r="B18" s="4">
        <v>0.33763</v>
      </c>
      <c r="C18" s="4">
        <v>175.27898</v>
      </c>
      <c r="D18" s="15"/>
      <c r="E18" s="14">
        <v>1200</v>
      </c>
      <c r="F18" s="4">
        <v>0.000805185</v>
      </c>
      <c r="G18" s="4">
        <v>0.01205</v>
      </c>
    </row>
    <row r="19" spans="1:7">
      <c r="A19" s="14">
        <v>720</v>
      </c>
      <c r="B19" s="4">
        <v>0.3252</v>
      </c>
      <c r="C19" s="4">
        <v>175.19502</v>
      </c>
      <c r="D19" s="15"/>
      <c r="E19" s="14">
        <v>1320</v>
      </c>
      <c r="F19" s="4">
        <v>-0.000663545</v>
      </c>
      <c r="G19" s="4">
        <v>0.00253</v>
      </c>
    </row>
    <row r="20" spans="1:7">
      <c r="A20" s="14">
        <v>840</v>
      </c>
      <c r="B20" s="4">
        <v>0.3121</v>
      </c>
      <c r="C20" s="4">
        <v>174.30414</v>
      </c>
      <c r="D20" s="15"/>
      <c r="E20" s="14">
        <v>1440</v>
      </c>
      <c r="F20" s="4">
        <v>-0.000269371</v>
      </c>
      <c r="G20" s="4">
        <v>-0.00869</v>
      </c>
    </row>
    <row r="21" spans="1:7">
      <c r="A21" s="14">
        <v>960</v>
      </c>
      <c r="B21" s="4">
        <v>0.30504</v>
      </c>
      <c r="C21" s="4">
        <v>173.55628</v>
      </c>
      <c r="D21" s="15"/>
      <c r="E21" s="16"/>
      <c r="F21" s="15"/>
      <c r="G21" s="15"/>
    </row>
    <row r="22" spans="1:7">
      <c r="A22" s="14">
        <v>1080</v>
      </c>
      <c r="B22" s="4">
        <v>0.29978</v>
      </c>
      <c r="C22" s="4">
        <v>173.30635</v>
      </c>
      <c r="D22" s="15"/>
      <c r="E22" s="16"/>
      <c r="F22" s="15"/>
      <c r="G22" s="15"/>
    </row>
    <row r="23" spans="1:7">
      <c r="A23" s="14">
        <v>1200</v>
      </c>
      <c r="B23" s="4">
        <v>0.28728</v>
      </c>
      <c r="C23" s="4">
        <v>173.3883</v>
      </c>
      <c r="D23" s="15"/>
      <c r="E23" s="16"/>
      <c r="F23" s="15"/>
      <c r="G23" s="15"/>
    </row>
    <row r="24" spans="1:7">
      <c r="A24" s="14">
        <v>1320</v>
      </c>
      <c r="B24" s="4">
        <v>0.29025</v>
      </c>
      <c r="C24" s="4">
        <v>173.50588</v>
      </c>
      <c r="D24" s="15"/>
      <c r="E24" s="16"/>
      <c r="F24" s="15"/>
      <c r="G24" s="15"/>
    </row>
    <row r="25" spans="1:7">
      <c r="A25" s="14">
        <v>1440</v>
      </c>
      <c r="B25" s="4">
        <v>0.28526</v>
      </c>
      <c r="C25" s="4">
        <v>173.5562</v>
      </c>
      <c r="D25" s="15"/>
      <c r="E25" s="16"/>
      <c r="F25" s="15"/>
      <c r="G25" s="15"/>
    </row>
    <row r="26" spans="1:7">
      <c r="A26" s="14">
        <v>1560</v>
      </c>
      <c r="B26" s="4">
        <v>0.27905</v>
      </c>
      <c r="C26" s="4">
        <v>173.02643</v>
      </c>
      <c r="D26" s="15"/>
      <c r="E26" s="16"/>
      <c r="F26" s="15"/>
      <c r="G26" s="15"/>
    </row>
    <row r="27" spans="1:7">
      <c r="A27" s="16"/>
      <c r="B27" s="15"/>
      <c r="C27" s="15"/>
      <c r="D27" s="15"/>
      <c r="E27" s="16"/>
      <c r="F27" s="15"/>
      <c r="G27" s="15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D124"/>
  <sheetViews>
    <sheetView zoomScale="85" zoomScaleNormal="85" workbookViewId="0">
      <selection activeCell="B10" sqref="B10"/>
    </sheetView>
  </sheetViews>
  <sheetFormatPr defaultColWidth="8.87692307692308" defaultRowHeight="15.5" outlineLevelCol="3"/>
  <cols>
    <col min="1" max="1" width="20.0615384615385" customWidth="1"/>
    <col min="2" max="2" width="48.6461538461538" customWidth="1"/>
    <col min="4" max="4" width="10.0615384615385" customWidth="1"/>
  </cols>
  <sheetData>
    <row r="1" s="1" customFormat="1" spans="1:4">
      <c r="A1" s="3" t="s">
        <v>281</v>
      </c>
      <c r="B1" s="3" t="s">
        <v>282</v>
      </c>
      <c r="C1" s="3" t="s">
        <v>283</v>
      </c>
      <c r="D1" s="3" t="s">
        <v>284</v>
      </c>
    </row>
    <row r="2" spans="1:4">
      <c r="A2" s="12" t="s">
        <v>285</v>
      </c>
      <c r="B2" s="12" t="s">
        <v>286</v>
      </c>
      <c r="C2" s="4">
        <v>39.99</v>
      </c>
      <c r="D2" s="4">
        <v>116.31</v>
      </c>
    </row>
    <row r="3" spans="1:4">
      <c r="A3" s="12" t="s">
        <v>287</v>
      </c>
      <c r="B3" s="12" t="s">
        <v>286</v>
      </c>
      <c r="C3" s="4">
        <v>39.99</v>
      </c>
      <c r="D3" s="4">
        <v>116.31</v>
      </c>
    </row>
    <row r="4" spans="1:4">
      <c r="A4" s="12" t="s">
        <v>288</v>
      </c>
      <c r="B4" s="12" t="s">
        <v>286</v>
      </c>
      <c r="C4" s="4">
        <v>39.99</v>
      </c>
      <c r="D4" s="4">
        <v>116.31</v>
      </c>
    </row>
    <row r="5" spans="1:4">
      <c r="A5" s="12" t="s">
        <v>289</v>
      </c>
      <c r="B5" s="12" t="s">
        <v>286</v>
      </c>
      <c r="C5" s="4">
        <v>39.99</v>
      </c>
      <c r="D5" s="4">
        <v>116.31</v>
      </c>
    </row>
    <row r="6" spans="1:4">
      <c r="A6" s="12" t="s">
        <v>290</v>
      </c>
      <c r="B6" s="12" t="s">
        <v>286</v>
      </c>
      <c r="C6" s="4">
        <v>39.99</v>
      </c>
      <c r="D6" s="4">
        <v>116.31</v>
      </c>
    </row>
    <row r="7" spans="1:4">
      <c r="A7" s="12" t="s">
        <v>291</v>
      </c>
      <c r="B7" s="12" t="s">
        <v>286</v>
      </c>
      <c r="C7" s="4">
        <v>39.99</v>
      </c>
      <c r="D7" s="4">
        <v>116.31</v>
      </c>
    </row>
    <row r="8" spans="1:4">
      <c r="A8" s="12" t="s">
        <v>292</v>
      </c>
      <c r="B8" s="12" t="s">
        <v>286</v>
      </c>
      <c r="C8" s="4">
        <v>39.99</v>
      </c>
      <c r="D8" s="4">
        <v>116.31</v>
      </c>
    </row>
    <row r="9" spans="1:4">
      <c r="A9" s="12" t="s">
        <v>293</v>
      </c>
      <c r="B9" s="12" t="s">
        <v>286</v>
      </c>
      <c r="C9" s="4">
        <v>39.99</v>
      </c>
      <c r="D9" s="4">
        <v>116.31</v>
      </c>
    </row>
    <row r="10" spans="1:4">
      <c r="A10" s="12" t="s">
        <v>294</v>
      </c>
      <c r="B10" s="12" t="s">
        <v>286</v>
      </c>
      <c r="C10" s="4">
        <v>39.99</v>
      </c>
      <c r="D10" s="4">
        <v>116.31</v>
      </c>
    </row>
    <row r="11" spans="1:4">
      <c r="A11" s="12" t="s">
        <v>295</v>
      </c>
      <c r="B11" s="12" t="s">
        <v>286</v>
      </c>
      <c r="C11" s="4">
        <v>39.99</v>
      </c>
      <c r="D11" s="4">
        <v>116.31</v>
      </c>
    </row>
    <row r="12" spans="1:4">
      <c r="A12" s="12" t="s">
        <v>296</v>
      </c>
      <c r="B12" s="12" t="s">
        <v>286</v>
      </c>
      <c r="C12" s="4">
        <v>39.99</v>
      </c>
      <c r="D12" s="4">
        <v>116.31</v>
      </c>
    </row>
    <row r="13" spans="1:4">
      <c r="A13" s="12" t="s">
        <v>297</v>
      </c>
      <c r="B13" s="12" t="s">
        <v>286</v>
      </c>
      <c r="C13" s="4">
        <v>39.99</v>
      </c>
      <c r="D13" s="4">
        <v>116.31</v>
      </c>
    </row>
    <row r="14" spans="1:4">
      <c r="A14" s="12" t="s">
        <v>298</v>
      </c>
      <c r="B14" s="12" t="s">
        <v>286</v>
      </c>
      <c r="C14" s="4">
        <v>39.99</v>
      </c>
      <c r="D14" s="4">
        <v>116.31</v>
      </c>
    </row>
    <row r="15" spans="1:4">
      <c r="A15" s="12" t="s">
        <v>299</v>
      </c>
      <c r="B15" s="12" t="s">
        <v>300</v>
      </c>
      <c r="C15" s="4">
        <v>39.2411</v>
      </c>
      <c r="D15" s="4">
        <v>97.758</v>
      </c>
    </row>
    <row r="16" spans="1:4">
      <c r="A16" s="12" t="s">
        <v>301</v>
      </c>
      <c r="B16" s="12" t="s">
        <v>302</v>
      </c>
      <c r="C16" s="4">
        <v>28.2351</v>
      </c>
      <c r="D16" s="4">
        <v>85.6152</v>
      </c>
    </row>
    <row r="17" spans="1:4">
      <c r="A17" s="12" t="s">
        <v>303</v>
      </c>
      <c r="B17" s="12" t="s">
        <v>302</v>
      </c>
      <c r="C17" s="4">
        <v>28.2355</v>
      </c>
      <c r="D17" s="4">
        <v>85.6147</v>
      </c>
    </row>
    <row r="18" spans="1:4">
      <c r="A18" s="12" t="s">
        <v>304</v>
      </c>
      <c r="B18" s="12" t="s">
        <v>305</v>
      </c>
      <c r="C18" s="4">
        <v>43.1054</v>
      </c>
      <c r="D18" s="4">
        <v>86.8055</v>
      </c>
    </row>
    <row r="19" spans="1:4">
      <c r="A19" s="12" t="s">
        <v>306</v>
      </c>
      <c r="B19" s="12" t="s">
        <v>305</v>
      </c>
      <c r="C19" s="4">
        <v>43.113</v>
      </c>
      <c r="D19" s="4">
        <v>86.8103</v>
      </c>
    </row>
    <row r="20" spans="1:4">
      <c r="A20" s="12" t="s">
        <v>307</v>
      </c>
      <c r="B20" s="12" t="s">
        <v>308</v>
      </c>
      <c r="C20" s="4">
        <v>78.1476</v>
      </c>
      <c r="D20" s="4">
        <v>16.117</v>
      </c>
    </row>
    <row r="21" spans="1:4">
      <c r="A21" s="12" t="s">
        <v>309</v>
      </c>
      <c r="B21" s="12" t="s">
        <v>310</v>
      </c>
      <c r="C21" s="4">
        <v>78.8908</v>
      </c>
      <c r="D21" s="4">
        <v>11.8768</v>
      </c>
    </row>
    <row r="22" spans="1:4">
      <c r="A22" s="12" t="s">
        <v>311</v>
      </c>
      <c r="B22" s="12" t="s">
        <v>312</v>
      </c>
      <c r="C22" s="4">
        <v>63.2547</v>
      </c>
      <c r="D22" s="4">
        <v>-145.4271</v>
      </c>
    </row>
    <row r="23" spans="1:4">
      <c r="A23" s="12" t="s">
        <v>313</v>
      </c>
      <c r="B23" s="12" t="s">
        <v>314</v>
      </c>
      <c r="C23" s="4">
        <v>77.5075</v>
      </c>
      <c r="D23" s="4">
        <v>-69.122</v>
      </c>
    </row>
    <row r="24" spans="1:4">
      <c r="A24" s="12" t="s">
        <v>315</v>
      </c>
      <c r="B24" s="12" t="s">
        <v>314</v>
      </c>
      <c r="C24" s="4">
        <v>77.5075</v>
      </c>
      <c r="D24" s="4">
        <v>-69.122</v>
      </c>
    </row>
    <row r="25" spans="1:4">
      <c r="A25" s="12" t="s">
        <v>316</v>
      </c>
      <c r="B25" s="12" t="s">
        <v>314</v>
      </c>
      <c r="C25" s="4">
        <v>77.5075</v>
      </c>
      <c r="D25" s="4">
        <v>-69.122</v>
      </c>
    </row>
    <row r="26" spans="1:4">
      <c r="A26" s="12" t="s">
        <v>317</v>
      </c>
      <c r="B26" s="12" t="s">
        <v>314</v>
      </c>
      <c r="C26" s="4">
        <v>77.5075</v>
      </c>
      <c r="D26" s="4">
        <v>-69.122</v>
      </c>
    </row>
    <row r="27" spans="1:4">
      <c r="A27" s="12" t="s">
        <v>318</v>
      </c>
      <c r="B27" s="12" t="s">
        <v>319</v>
      </c>
      <c r="C27" s="4">
        <v>41.9582</v>
      </c>
      <c r="D27" s="4">
        <v>77.9165</v>
      </c>
    </row>
    <row r="28" spans="1:4">
      <c r="A28" s="12" t="s">
        <v>320</v>
      </c>
      <c r="B28" s="12" t="s">
        <v>321</v>
      </c>
      <c r="C28" s="4">
        <v>-62.2414</v>
      </c>
      <c r="D28" s="4">
        <v>-58.6201</v>
      </c>
    </row>
    <row r="29" spans="1:4">
      <c r="A29" s="12" t="s">
        <v>322</v>
      </c>
      <c r="B29" s="12" t="s">
        <v>312</v>
      </c>
      <c r="C29" s="4">
        <v>63.2681</v>
      </c>
      <c r="D29" s="4">
        <v>-145.4129</v>
      </c>
    </row>
    <row r="30" spans="1:4">
      <c r="A30" s="12" t="s">
        <v>323</v>
      </c>
      <c r="B30" s="12" t="s">
        <v>302</v>
      </c>
      <c r="C30" s="4">
        <v>28.2346</v>
      </c>
      <c r="D30" s="4">
        <v>85.6167</v>
      </c>
    </row>
    <row r="31" spans="1:4">
      <c r="A31" s="12" t="s">
        <v>324</v>
      </c>
      <c r="B31" s="12" t="s">
        <v>325</v>
      </c>
      <c r="C31" s="4">
        <v>-42.27291</v>
      </c>
      <c r="D31" s="4">
        <v>-72.27393</v>
      </c>
    </row>
    <row r="32" spans="1:4">
      <c r="A32" s="12" t="s">
        <v>326</v>
      </c>
      <c r="B32" s="12" t="s">
        <v>325</v>
      </c>
      <c r="C32" s="4">
        <v>-42.27291</v>
      </c>
      <c r="D32" s="4">
        <v>-72.27393</v>
      </c>
    </row>
    <row r="33" spans="1:4">
      <c r="A33" s="12" t="s">
        <v>327</v>
      </c>
      <c r="B33" s="12" t="s">
        <v>325</v>
      </c>
      <c r="C33" s="4">
        <v>-42.27291</v>
      </c>
      <c r="D33" s="4">
        <v>-72.27393</v>
      </c>
    </row>
    <row r="34" spans="1:4">
      <c r="A34" s="12" t="s">
        <v>328</v>
      </c>
      <c r="B34" s="12" t="s">
        <v>329</v>
      </c>
      <c r="C34" s="4">
        <v>34.318</v>
      </c>
      <c r="D34" s="4">
        <v>139.216</v>
      </c>
    </row>
    <row r="35" spans="1:4">
      <c r="A35" s="12" t="s">
        <v>330</v>
      </c>
      <c r="B35" s="12" t="s">
        <v>331</v>
      </c>
      <c r="C35" s="4">
        <v>-21.268583</v>
      </c>
      <c r="D35" s="4">
        <v>-69.617974</v>
      </c>
    </row>
    <row r="36" spans="1:4">
      <c r="A36" s="12" t="s">
        <v>332</v>
      </c>
      <c r="B36" s="12" t="s">
        <v>331</v>
      </c>
      <c r="C36" s="4">
        <v>-21.268583</v>
      </c>
      <c r="D36" s="4">
        <v>-69.617974</v>
      </c>
    </row>
    <row r="37" spans="1:4">
      <c r="A37" s="12" t="s">
        <v>333</v>
      </c>
      <c r="B37" s="12" t="s">
        <v>334</v>
      </c>
      <c r="C37" s="4">
        <v>60.1987</v>
      </c>
      <c r="D37" s="4">
        <v>-125.5127</v>
      </c>
    </row>
    <row r="38" spans="1:4">
      <c r="A38" s="12" t="s">
        <v>335</v>
      </c>
      <c r="B38" s="12" t="s">
        <v>336</v>
      </c>
      <c r="C38" s="4">
        <v>44.963</v>
      </c>
      <c r="D38" s="4">
        <v>110.715</v>
      </c>
    </row>
    <row r="39" spans="1:4">
      <c r="A39" s="12" t="s">
        <v>337</v>
      </c>
      <c r="B39" s="12" t="s">
        <v>338</v>
      </c>
      <c r="C39" s="4">
        <v>23.69</v>
      </c>
      <c r="D39" s="4">
        <v>83.68</v>
      </c>
    </row>
    <row r="40" spans="1:4">
      <c r="A40" s="12" t="s">
        <v>339</v>
      </c>
      <c r="B40" s="12" t="s">
        <v>338</v>
      </c>
      <c r="C40" s="4">
        <v>23.69</v>
      </c>
      <c r="D40" s="4">
        <v>83.68</v>
      </c>
    </row>
    <row r="41" spans="1:4">
      <c r="A41" s="12" t="s">
        <v>340</v>
      </c>
      <c r="B41" s="12" t="s">
        <v>329</v>
      </c>
      <c r="C41" s="4">
        <v>34.318</v>
      </c>
      <c r="D41" s="4">
        <v>139.216</v>
      </c>
    </row>
    <row r="42" spans="1:4">
      <c r="A42" s="12" t="s">
        <v>341</v>
      </c>
      <c r="B42" s="12" t="s">
        <v>329</v>
      </c>
      <c r="C42" s="4">
        <v>34.318</v>
      </c>
      <c r="D42" s="4">
        <v>139.216</v>
      </c>
    </row>
    <row r="43" spans="1:4">
      <c r="A43" s="12" t="s">
        <v>342</v>
      </c>
      <c r="B43" s="12" t="s">
        <v>343</v>
      </c>
      <c r="C43" s="4">
        <v>41.70944444</v>
      </c>
      <c r="D43" s="4">
        <v>-83.26111111</v>
      </c>
    </row>
    <row r="44" spans="1:4">
      <c r="A44" s="12" t="s">
        <v>344</v>
      </c>
      <c r="B44" s="12" t="s">
        <v>345</v>
      </c>
      <c r="C44" s="4">
        <v>41.82861111</v>
      </c>
      <c r="D44" s="4">
        <v>-83.19416667</v>
      </c>
    </row>
    <row r="45" spans="1:4">
      <c r="A45" s="12" t="s">
        <v>346</v>
      </c>
      <c r="B45" s="12" t="s">
        <v>347</v>
      </c>
      <c r="C45" s="4">
        <v>41.76388889</v>
      </c>
      <c r="D45" s="4">
        <v>-83.33083333</v>
      </c>
    </row>
    <row r="46" spans="1:4">
      <c r="A46" s="12" t="s">
        <v>348</v>
      </c>
      <c r="B46" s="12" t="s">
        <v>345</v>
      </c>
      <c r="C46" s="4">
        <v>41.82638889</v>
      </c>
      <c r="D46" s="4">
        <v>-83.19388889</v>
      </c>
    </row>
    <row r="47" spans="1:4">
      <c r="A47" s="12" t="s">
        <v>349</v>
      </c>
      <c r="B47" s="12" t="s">
        <v>350</v>
      </c>
      <c r="C47" s="4">
        <v>31.28</v>
      </c>
      <c r="D47" s="4">
        <v>120.19</v>
      </c>
    </row>
    <row r="48" spans="1:4">
      <c r="A48" s="12" t="s">
        <v>351</v>
      </c>
      <c r="B48" s="12" t="s">
        <v>347</v>
      </c>
      <c r="C48" s="4">
        <v>41.76472222</v>
      </c>
      <c r="D48" s="4">
        <v>-83.335</v>
      </c>
    </row>
    <row r="49" spans="1:4">
      <c r="A49" s="12" t="s">
        <v>352</v>
      </c>
      <c r="B49" s="12" t="s">
        <v>347</v>
      </c>
      <c r="C49" s="4">
        <v>41.76527778</v>
      </c>
      <c r="D49" s="4">
        <v>-83.33055556</v>
      </c>
    </row>
    <row r="50" spans="1:4">
      <c r="A50" s="12" t="s">
        <v>353</v>
      </c>
      <c r="B50" s="12" t="s">
        <v>350</v>
      </c>
      <c r="C50" s="4">
        <v>31.28</v>
      </c>
      <c r="D50" s="4">
        <v>120.17</v>
      </c>
    </row>
    <row r="51" spans="1:4">
      <c r="A51" s="12" t="s">
        <v>354</v>
      </c>
      <c r="B51" s="12" t="s">
        <v>350</v>
      </c>
      <c r="C51" s="4">
        <v>31.15</v>
      </c>
      <c r="D51" s="4">
        <v>120.15</v>
      </c>
    </row>
    <row r="52" spans="1:4">
      <c r="A52" s="12" t="s">
        <v>355</v>
      </c>
      <c r="B52" s="12" t="s">
        <v>350</v>
      </c>
      <c r="C52" s="4">
        <v>31.28</v>
      </c>
      <c r="D52" s="4">
        <v>120.18</v>
      </c>
    </row>
    <row r="53" spans="1:4">
      <c r="A53" s="12" t="s">
        <v>356</v>
      </c>
      <c r="B53" s="12" t="s">
        <v>350</v>
      </c>
      <c r="C53" s="4">
        <v>31.28</v>
      </c>
      <c r="D53" s="4">
        <v>120.2</v>
      </c>
    </row>
    <row r="54" spans="1:4">
      <c r="A54" s="12" t="s">
        <v>357</v>
      </c>
      <c r="B54" s="12" t="s">
        <v>343</v>
      </c>
      <c r="C54" s="4">
        <v>41.705</v>
      </c>
      <c r="D54" s="4">
        <v>-83.25638889</v>
      </c>
    </row>
    <row r="55" spans="1:4">
      <c r="A55" s="12" t="s">
        <v>358</v>
      </c>
      <c r="B55" s="12" t="s">
        <v>345</v>
      </c>
      <c r="C55" s="4">
        <v>41.82666667</v>
      </c>
      <c r="D55" s="4">
        <v>-83.19472222</v>
      </c>
    </row>
    <row r="56" spans="1:4">
      <c r="A56" s="12" t="s">
        <v>359</v>
      </c>
      <c r="B56" s="12" t="s">
        <v>360</v>
      </c>
      <c r="C56" s="4">
        <v>16.48</v>
      </c>
      <c r="D56" s="4">
        <v>57.26999999</v>
      </c>
    </row>
    <row r="57" spans="1:4">
      <c r="A57" s="12" t="s">
        <v>361</v>
      </c>
      <c r="B57" s="12" t="s">
        <v>360</v>
      </c>
      <c r="C57" s="4">
        <v>21.23</v>
      </c>
      <c r="D57" s="4">
        <v>64.88999999</v>
      </c>
    </row>
    <row r="58" spans="1:4">
      <c r="A58" s="12" t="s">
        <v>362</v>
      </c>
      <c r="B58" s="12" t="s">
        <v>360</v>
      </c>
      <c r="C58" s="4">
        <v>11.86</v>
      </c>
      <c r="D58" s="4">
        <v>59.44</v>
      </c>
    </row>
    <row r="59" spans="1:4">
      <c r="A59" s="12" t="s">
        <v>363</v>
      </c>
      <c r="B59" s="12" t="s">
        <v>364</v>
      </c>
      <c r="C59" s="4">
        <v>29.56</v>
      </c>
      <c r="D59" s="4">
        <v>34.95</v>
      </c>
    </row>
    <row r="60" spans="1:4">
      <c r="A60" s="12" t="s">
        <v>365</v>
      </c>
      <c r="B60" s="12" t="s">
        <v>364</v>
      </c>
      <c r="C60" s="4">
        <v>29.56</v>
      </c>
      <c r="D60" s="4">
        <v>34.95</v>
      </c>
    </row>
    <row r="61" spans="1:4">
      <c r="A61" s="12" t="s">
        <v>366</v>
      </c>
      <c r="B61" s="12" t="s">
        <v>364</v>
      </c>
      <c r="C61" s="4">
        <v>29.56</v>
      </c>
      <c r="D61" s="4">
        <v>34.95</v>
      </c>
    </row>
    <row r="62" spans="1:4">
      <c r="A62" s="12" t="s">
        <v>367</v>
      </c>
      <c r="B62" s="12" t="s">
        <v>368</v>
      </c>
      <c r="C62" s="4">
        <v>22.7</v>
      </c>
      <c r="D62" s="4">
        <v>158.1</v>
      </c>
    </row>
    <row r="63" spans="1:4">
      <c r="A63" s="12" t="s">
        <v>369</v>
      </c>
      <c r="B63" s="12" t="s">
        <v>368</v>
      </c>
      <c r="C63" s="4">
        <v>22.7</v>
      </c>
      <c r="D63" s="4">
        <v>158.1</v>
      </c>
    </row>
    <row r="64" spans="1:4">
      <c r="A64" s="12" t="s">
        <v>370</v>
      </c>
      <c r="B64" s="12" t="s">
        <v>368</v>
      </c>
      <c r="C64" s="4">
        <v>18.24</v>
      </c>
      <c r="D64" s="4">
        <v>170</v>
      </c>
    </row>
    <row r="65" spans="1:4">
      <c r="A65" s="12" t="s">
        <v>371</v>
      </c>
      <c r="B65" s="12" t="s">
        <v>372</v>
      </c>
      <c r="C65" s="4">
        <v>37.0309166667</v>
      </c>
      <c r="D65" s="4">
        <v>1.948939</v>
      </c>
    </row>
    <row r="66" spans="1:4">
      <c r="A66" s="12" t="s">
        <v>371</v>
      </c>
      <c r="B66" s="12" t="s">
        <v>373</v>
      </c>
      <c r="C66" s="4">
        <v>37.0309166667</v>
      </c>
      <c r="D66" s="4">
        <v>1.948939</v>
      </c>
    </row>
    <row r="67" spans="1:4">
      <c r="A67" s="12" t="s">
        <v>371</v>
      </c>
      <c r="B67" s="12" t="s">
        <v>374</v>
      </c>
      <c r="C67" s="4">
        <v>42.175989</v>
      </c>
      <c r="D67" s="4">
        <v>17.725561</v>
      </c>
    </row>
    <row r="68" spans="1:4">
      <c r="A68" s="12" t="s">
        <v>371</v>
      </c>
      <c r="B68" s="12" t="s">
        <v>374</v>
      </c>
      <c r="C68" s="4">
        <v>42.175989</v>
      </c>
      <c r="D68" s="4">
        <v>17.725561</v>
      </c>
    </row>
    <row r="69" spans="1:4">
      <c r="A69" s="12" t="s">
        <v>371</v>
      </c>
      <c r="B69" s="12" t="s">
        <v>375</v>
      </c>
      <c r="C69" s="4">
        <v>39.1183585</v>
      </c>
      <c r="D69" s="4">
        <v>5.8879165</v>
      </c>
    </row>
    <row r="70" spans="1:4">
      <c r="A70" s="12" t="s">
        <v>371</v>
      </c>
      <c r="B70" s="12" t="s">
        <v>376</v>
      </c>
      <c r="C70" s="4">
        <v>-8.9785321429</v>
      </c>
      <c r="D70" s="4">
        <v>-139.2297761429</v>
      </c>
    </row>
    <row r="71" spans="1:4">
      <c r="A71" s="12" t="s">
        <v>371</v>
      </c>
      <c r="B71" s="12" t="s">
        <v>377</v>
      </c>
      <c r="C71" s="4">
        <v>20.8179415</v>
      </c>
      <c r="D71" s="4">
        <v>63.5083835</v>
      </c>
    </row>
    <row r="72" spans="1:4">
      <c r="A72" s="12" t="s">
        <v>371</v>
      </c>
      <c r="B72" s="12" t="s">
        <v>378</v>
      </c>
      <c r="C72" s="4">
        <v>18.3975</v>
      </c>
      <c r="D72" s="4">
        <v>39.869167</v>
      </c>
    </row>
    <row r="73" spans="1:4">
      <c r="A73" s="12" t="s">
        <v>371</v>
      </c>
      <c r="B73" s="12" t="s">
        <v>379</v>
      </c>
      <c r="C73" s="4">
        <v>14.5792</v>
      </c>
      <c r="D73" s="4">
        <v>69.9995723333</v>
      </c>
    </row>
    <row r="74" spans="1:4">
      <c r="A74" s="12" t="s">
        <v>371</v>
      </c>
      <c r="B74" s="12" t="s">
        <v>380</v>
      </c>
      <c r="C74" s="4">
        <v>14.1886885</v>
      </c>
      <c r="D74" s="4">
        <v>-116.67188125</v>
      </c>
    </row>
    <row r="75" spans="1:4">
      <c r="A75" s="12" t="s">
        <v>371</v>
      </c>
      <c r="B75" s="12" t="s">
        <v>379</v>
      </c>
      <c r="C75" s="4">
        <v>6.015508</v>
      </c>
      <c r="D75" s="4">
        <v>73.8978335</v>
      </c>
    </row>
    <row r="76" spans="1:4">
      <c r="A76" s="12" t="s">
        <v>371</v>
      </c>
      <c r="B76" s="12" t="s">
        <v>379</v>
      </c>
      <c r="C76" s="4">
        <v>-16.95727275</v>
      </c>
      <c r="D76" s="4">
        <v>54.001273</v>
      </c>
    </row>
    <row r="77" spans="1:4">
      <c r="A77" s="12" t="s">
        <v>371</v>
      </c>
      <c r="B77" s="12" t="s">
        <v>381</v>
      </c>
      <c r="C77" s="4">
        <v>-31.0424176667</v>
      </c>
      <c r="D77" s="4">
        <v>4.663377</v>
      </c>
    </row>
    <row r="78" spans="1:4">
      <c r="A78" s="12" t="s">
        <v>371</v>
      </c>
      <c r="B78" s="12" t="s">
        <v>377</v>
      </c>
      <c r="C78" s="4">
        <v>-29.5104634</v>
      </c>
      <c r="D78" s="4">
        <v>37.9559034</v>
      </c>
    </row>
    <row r="79" spans="1:4">
      <c r="A79" s="12" t="s">
        <v>371</v>
      </c>
      <c r="B79" s="12" t="s">
        <v>377</v>
      </c>
      <c r="C79" s="4">
        <v>-29.5104634</v>
      </c>
      <c r="D79" s="4">
        <v>37.9559034</v>
      </c>
    </row>
    <row r="80" spans="1:4">
      <c r="A80" s="12" t="s">
        <v>371</v>
      </c>
      <c r="B80" s="12" t="s">
        <v>382</v>
      </c>
      <c r="C80" s="4">
        <v>-47.1988335</v>
      </c>
      <c r="D80" s="4">
        <v>-58.177233</v>
      </c>
    </row>
    <row r="81" spans="1:4">
      <c r="A81" s="12" t="s">
        <v>371</v>
      </c>
      <c r="B81" s="12" t="s">
        <v>381</v>
      </c>
      <c r="C81" s="4">
        <v>-21.0047048333</v>
      </c>
      <c r="D81" s="4">
        <v>-35.3073135</v>
      </c>
    </row>
    <row r="82" spans="1:4">
      <c r="A82" s="12" t="s">
        <v>371</v>
      </c>
      <c r="B82" s="12" t="s">
        <v>383</v>
      </c>
      <c r="C82" s="4">
        <v>-25.8258115</v>
      </c>
      <c r="D82" s="4">
        <v>-111.7537705</v>
      </c>
    </row>
    <row r="83" spans="1:4">
      <c r="A83" s="12" t="s">
        <v>371</v>
      </c>
      <c r="B83" s="12" t="s">
        <v>381</v>
      </c>
      <c r="C83" s="4">
        <v>-30.1465038333</v>
      </c>
      <c r="D83" s="4">
        <v>-43.2675461667</v>
      </c>
    </row>
    <row r="84" spans="1:4">
      <c r="A84" s="12" t="s">
        <v>371</v>
      </c>
      <c r="B84" s="12" t="s">
        <v>378</v>
      </c>
      <c r="C84" s="4">
        <v>23.3755556667</v>
      </c>
      <c r="D84" s="4">
        <v>37.241111</v>
      </c>
    </row>
    <row r="85" spans="1:4">
      <c r="A85" s="12" t="s">
        <v>371</v>
      </c>
      <c r="B85" s="12" t="s">
        <v>380</v>
      </c>
      <c r="C85" s="4">
        <v>14.1886885</v>
      </c>
      <c r="D85" s="4">
        <v>-116.67188125</v>
      </c>
    </row>
    <row r="86" spans="1:4">
      <c r="A86" s="12" t="s">
        <v>371</v>
      </c>
      <c r="B86" s="12" t="s">
        <v>383</v>
      </c>
      <c r="C86" s="4">
        <v>-25.8258115</v>
      </c>
      <c r="D86" s="4">
        <v>-111.7537705</v>
      </c>
    </row>
    <row r="87" spans="1:4">
      <c r="A87" s="12" t="s">
        <v>371</v>
      </c>
      <c r="B87" s="12" t="s">
        <v>383</v>
      </c>
      <c r="C87" s="4">
        <v>-12.963053</v>
      </c>
      <c r="D87" s="4">
        <v>-96.052005</v>
      </c>
    </row>
    <row r="88" spans="1:4">
      <c r="A88" s="12" t="s">
        <v>371</v>
      </c>
      <c r="B88" s="12" t="s">
        <v>384</v>
      </c>
      <c r="C88" s="4">
        <v>25.600048</v>
      </c>
      <c r="D88" s="4">
        <v>-88.4338166</v>
      </c>
    </row>
    <row r="89" spans="1:4">
      <c r="A89" s="12" t="s">
        <v>371</v>
      </c>
      <c r="B89" s="12" t="s">
        <v>381</v>
      </c>
      <c r="C89" s="4">
        <v>-31.0424176667</v>
      </c>
      <c r="D89" s="4">
        <v>4.663377</v>
      </c>
    </row>
    <row r="90" spans="1:4">
      <c r="A90" s="12" t="s">
        <v>371</v>
      </c>
      <c r="B90" s="12" t="s">
        <v>383</v>
      </c>
      <c r="C90" s="4">
        <v>-12.963053</v>
      </c>
      <c r="D90" s="4">
        <v>-96.052005</v>
      </c>
    </row>
    <row r="91" spans="1:4">
      <c r="A91" s="12" t="s">
        <v>371</v>
      </c>
      <c r="B91" s="12" t="s">
        <v>381</v>
      </c>
      <c r="C91" s="4">
        <v>-8.758586</v>
      </c>
      <c r="D91" s="4">
        <v>-17.9193013333</v>
      </c>
    </row>
    <row r="92" spans="1:4">
      <c r="A92" s="12" t="s">
        <v>371</v>
      </c>
      <c r="B92" s="12" t="s">
        <v>381</v>
      </c>
      <c r="C92" s="4">
        <v>-8.758586</v>
      </c>
      <c r="D92" s="4">
        <v>-17.9193013333</v>
      </c>
    </row>
    <row r="93" spans="1:4">
      <c r="A93" s="12" t="s">
        <v>371</v>
      </c>
      <c r="B93" s="12" t="s">
        <v>385</v>
      </c>
      <c r="C93" s="4">
        <v>39.3750556667</v>
      </c>
      <c r="D93" s="4">
        <v>19.4095556667</v>
      </c>
    </row>
    <row r="94" spans="1:4">
      <c r="A94" s="12" t="s">
        <v>386</v>
      </c>
      <c r="B94" s="12" t="s">
        <v>381</v>
      </c>
      <c r="C94" s="4">
        <v>-21.0047048333</v>
      </c>
      <c r="D94" s="4">
        <v>-35.3073135</v>
      </c>
    </row>
    <row r="95" spans="1:4">
      <c r="A95" s="12" t="s">
        <v>386</v>
      </c>
      <c r="B95" s="12" t="s">
        <v>379</v>
      </c>
      <c r="C95" s="4">
        <v>14.5792</v>
      </c>
      <c r="D95" s="4">
        <v>69.9995723333</v>
      </c>
    </row>
    <row r="96" spans="1:4">
      <c r="A96" s="12" t="s">
        <v>386</v>
      </c>
      <c r="B96" s="12" t="s">
        <v>381</v>
      </c>
      <c r="C96" s="4">
        <v>-30.1465038333</v>
      </c>
      <c r="D96" s="4">
        <v>-43.2675461667</v>
      </c>
    </row>
    <row r="97" spans="1:4">
      <c r="A97" s="12" t="s">
        <v>386</v>
      </c>
      <c r="B97" s="12" t="s">
        <v>382</v>
      </c>
      <c r="C97" s="4">
        <v>-47.1988335</v>
      </c>
      <c r="D97" s="4">
        <v>-58.177233</v>
      </c>
    </row>
    <row r="98" spans="1:4">
      <c r="A98" s="12" t="s">
        <v>386</v>
      </c>
      <c r="B98" s="12" t="s">
        <v>383</v>
      </c>
      <c r="C98" s="4">
        <v>4.2e-5</v>
      </c>
      <c r="D98" s="4">
        <v>-153.67715</v>
      </c>
    </row>
    <row r="99" spans="1:4">
      <c r="A99" s="12" t="s">
        <v>386</v>
      </c>
      <c r="B99" s="12" t="s">
        <v>381</v>
      </c>
      <c r="C99" s="4">
        <v>-31.0424176667</v>
      </c>
      <c r="D99" s="4">
        <v>4.663377</v>
      </c>
    </row>
    <row r="100" spans="1:4">
      <c r="A100" s="12" t="s">
        <v>386</v>
      </c>
      <c r="B100" s="12" t="s">
        <v>385</v>
      </c>
      <c r="C100" s="4">
        <v>39.1183585</v>
      </c>
      <c r="D100" s="4">
        <v>5.8879165</v>
      </c>
    </row>
    <row r="101" spans="1:4">
      <c r="A101" s="12" t="s">
        <v>386</v>
      </c>
      <c r="B101" s="12" t="s">
        <v>385</v>
      </c>
      <c r="C101" s="4">
        <v>39.1183585</v>
      </c>
      <c r="D101" s="4">
        <v>5.8879165</v>
      </c>
    </row>
    <row r="102" spans="1:4">
      <c r="A102" s="12" t="s">
        <v>386</v>
      </c>
      <c r="B102" s="12" t="s">
        <v>385</v>
      </c>
      <c r="C102" s="4">
        <v>37.0309166667</v>
      </c>
      <c r="D102" s="4">
        <v>1.948939</v>
      </c>
    </row>
    <row r="103" spans="1:4">
      <c r="A103" s="12" t="s">
        <v>386</v>
      </c>
      <c r="B103" s="12" t="s">
        <v>385</v>
      </c>
      <c r="C103" s="4">
        <v>42.175989</v>
      </c>
      <c r="D103" s="4">
        <v>17.725561</v>
      </c>
    </row>
    <row r="104" spans="1:4">
      <c r="A104" s="12" t="s">
        <v>386</v>
      </c>
      <c r="B104" s="12" t="s">
        <v>385</v>
      </c>
      <c r="C104" s="4">
        <v>42.175989</v>
      </c>
      <c r="D104" s="4">
        <v>17.725561</v>
      </c>
    </row>
    <row r="105" spans="1:4">
      <c r="A105" s="12" t="s">
        <v>386</v>
      </c>
      <c r="B105" s="12" t="s">
        <v>383</v>
      </c>
      <c r="C105" s="4">
        <v>-1.89036475</v>
      </c>
      <c r="D105" s="4">
        <v>-84.616501</v>
      </c>
    </row>
    <row r="106" spans="1:4">
      <c r="A106" s="12" t="s">
        <v>386</v>
      </c>
      <c r="B106" s="12" t="s">
        <v>378</v>
      </c>
      <c r="C106" s="4">
        <v>23.3755556667</v>
      </c>
      <c r="D106" s="4">
        <v>37.241111</v>
      </c>
    </row>
    <row r="107" spans="1:4">
      <c r="A107" s="12" t="s">
        <v>386</v>
      </c>
      <c r="B107" s="12" t="s">
        <v>383</v>
      </c>
      <c r="C107" s="4">
        <v>-12.963053</v>
      </c>
      <c r="D107" s="4">
        <v>-96.052005</v>
      </c>
    </row>
    <row r="108" spans="1:4">
      <c r="A108" s="12" t="s">
        <v>386</v>
      </c>
      <c r="B108" s="12" t="s">
        <v>387</v>
      </c>
      <c r="C108" s="4">
        <v>-33.97650425</v>
      </c>
      <c r="D108" s="4">
        <v>-73.07065025</v>
      </c>
    </row>
    <row r="109" spans="1:4">
      <c r="A109" s="12" t="s">
        <v>386</v>
      </c>
      <c r="B109" s="12" t="s">
        <v>377</v>
      </c>
      <c r="C109" s="4">
        <v>-29.5104634</v>
      </c>
      <c r="D109" s="4">
        <v>37.9559034</v>
      </c>
    </row>
    <row r="110" spans="1:4">
      <c r="A110" s="12" t="s">
        <v>386</v>
      </c>
      <c r="B110" s="12" t="s">
        <v>383</v>
      </c>
      <c r="C110" s="4">
        <v>-25.8258115</v>
      </c>
      <c r="D110" s="4">
        <v>-111.7537705</v>
      </c>
    </row>
    <row r="111" spans="1:4">
      <c r="A111" s="12" t="s">
        <v>386</v>
      </c>
      <c r="B111" s="12" t="s">
        <v>379</v>
      </c>
      <c r="C111" s="4">
        <v>-16.95727275</v>
      </c>
      <c r="D111" s="4">
        <v>54.001273</v>
      </c>
    </row>
    <row r="112" spans="1:4">
      <c r="A112" s="12" t="s">
        <v>386</v>
      </c>
      <c r="B112" s="12" t="s">
        <v>381</v>
      </c>
      <c r="C112" s="4">
        <v>-8.758586</v>
      </c>
      <c r="D112" s="4">
        <v>-17.9193013333</v>
      </c>
    </row>
    <row r="113" spans="1:4">
      <c r="A113" s="12" t="s">
        <v>386</v>
      </c>
      <c r="B113" s="12" t="s">
        <v>383</v>
      </c>
      <c r="C113" s="4">
        <v>-25.8258115</v>
      </c>
      <c r="D113" s="4">
        <v>-111.7537705</v>
      </c>
    </row>
    <row r="114" spans="1:4">
      <c r="A114" s="12" t="s">
        <v>386</v>
      </c>
      <c r="B114" s="12" t="s">
        <v>381</v>
      </c>
      <c r="C114" s="4">
        <v>-31.0424176667</v>
      </c>
      <c r="D114" s="4">
        <v>4.663377</v>
      </c>
    </row>
    <row r="115" spans="1:4">
      <c r="A115" s="12" t="s">
        <v>386</v>
      </c>
      <c r="B115" s="12" t="s">
        <v>385</v>
      </c>
      <c r="C115" s="4">
        <v>35.7591415</v>
      </c>
      <c r="D115" s="4">
        <v>14.2565165</v>
      </c>
    </row>
    <row r="116" spans="1:4">
      <c r="A116" s="12" t="s">
        <v>386</v>
      </c>
      <c r="B116" s="12" t="s">
        <v>379</v>
      </c>
      <c r="C116" s="4">
        <v>6.015508</v>
      </c>
      <c r="D116" s="4">
        <v>73.8978335</v>
      </c>
    </row>
    <row r="117" spans="1:4">
      <c r="A117" s="12" t="s">
        <v>386</v>
      </c>
      <c r="B117" s="12" t="s">
        <v>377</v>
      </c>
      <c r="C117" s="4">
        <v>20.8179415</v>
      </c>
      <c r="D117" s="4">
        <v>63.5083835</v>
      </c>
    </row>
    <row r="118" spans="1:4">
      <c r="A118" s="12" t="s">
        <v>386</v>
      </c>
      <c r="B118" s="12" t="s">
        <v>378</v>
      </c>
      <c r="C118" s="4">
        <v>23.3755556667</v>
      </c>
      <c r="D118" s="4">
        <v>37.241111</v>
      </c>
    </row>
    <row r="119" spans="1:4">
      <c r="A119" s="12" t="s">
        <v>386</v>
      </c>
      <c r="B119" s="12" t="s">
        <v>383</v>
      </c>
      <c r="C119" s="4">
        <v>-12.963053</v>
      </c>
      <c r="D119" s="4">
        <v>-96.052005</v>
      </c>
    </row>
    <row r="120" spans="1:4">
      <c r="A120" s="12" t="s">
        <v>386</v>
      </c>
      <c r="B120" s="12" t="s">
        <v>385</v>
      </c>
      <c r="C120" s="4">
        <v>39.3750556667</v>
      </c>
      <c r="D120" s="4">
        <v>19.4095556667</v>
      </c>
    </row>
    <row r="121" spans="1:4">
      <c r="A121" s="12" t="s">
        <v>386</v>
      </c>
      <c r="B121" s="12" t="s">
        <v>378</v>
      </c>
      <c r="C121" s="4">
        <v>18.3975</v>
      </c>
      <c r="D121" s="4">
        <v>39.869167</v>
      </c>
    </row>
    <row r="122" spans="1:4">
      <c r="A122" s="12" t="s">
        <v>386</v>
      </c>
      <c r="B122" s="12" t="s">
        <v>377</v>
      </c>
      <c r="C122" s="4">
        <v>20.8179415</v>
      </c>
      <c r="D122" s="4">
        <v>63.5083835</v>
      </c>
    </row>
    <row r="123" spans="1:4">
      <c r="A123" s="12" t="s">
        <v>386</v>
      </c>
      <c r="B123" s="12" t="s">
        <v>377</v>
      </c>
      <c r="C123" s="4">
        <v>-29.5104634</v>
      </c>
      <c r="D123" s="4">
        <v>37.9559034</v>
      </c>
    </row>
    <row r="124" spans="1:4">
      <c r="A124" s="12" t="s">
        <v>386</v>
      </c>
      <c r="B124" s="12" t="s">
        <v>378</v>
      </c>
      <c r="C124" s="4">
        <v>18.3975</v>
      </c>
      <c r="D124" s="4">
        <v>39.869167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88"/>
  <sheetViews>
    <sheetView workbookViewId="0">
      <selection activeCell="B15" sqref="B15"/>
    </sheetView>
  </sheetViews>
  <sheetFormatPr defaultColWidth="8.87692307692308" defaultRowHeight="15.5" outlineLevelCol="1"/>
  <cols>
    <col min="1" max="1" width="8.87692307692308" style="6"/>
    <col min="2" max="2" width="42.0615384615385" style="7" customWidth="1"/>
    <col min="3" max="16384" width="8.87692307692308" style="2"/>
  </cols>
  <sheetData>
    <row r="1" spans="1:2">
      <c r="A1" s="8" t="s">
        <v>388</v>
      </c>
      <c r="B1" s="9" t="s">
        <v>389</v>
      </c>
    </row>
    <row r="2" spans="1:2">
      <c r="A2" s="6" t="s">
        <v>390</v>
      </c>
      <c r="B2" s="7">
        <v>0.0195979899497487</v>
      </c>
    </row>
    <row r="3" spans="1:2">
      <c r="A3" s="6" t="s">
        <v>391</v>
      </c>
      <c r="B3" s="7">
        <v>0.020609756097561</v>
      </c>
    </row>
    <row r="4" spans="1:2">
      <c r="A4" s="6" t="s">
        <v>392</v>
      </c>
      <c r="B4" s="7">
        <v>0.0223030303030303</v>
      </c>
    </row>
    <row r="5" spans="1:2">
      <c r="A5" s="6" t="s">
        <v>393</v>
      </c>
      <c r="B5" s="7">
        <v>0.0215770609318996</v>
      </c>
    </row>
    <row r="6" spans="1:2">
      <c r="A6" s="6" t="s">
        <v>394</v>
      </c>
      <c r="B6" s="7">
        <v>0.0147540983606557</v>
      </c>
    </row>
    <row r="7" spans="1:2">
      <c r="A7" s="6" t="s">
        <v>395</v>
      </c>
      <c r="B7" s="7">
        <v>0.0195024875621891</v>
      </c>
    </row>
    <row r="8" spans="1:2">
      <c r="A8" s="6" t="s">
        <v>396</v>
      </c>
      <c r="B8" s="7">
        <v>0.021195652173913</v>
      </c>
    </row>
    <row r="9" spans="1:2">
      <c r="A9" s="6" t="s">
        <v>397</v>
      </c>
      <c r="B9" s="7">
        <v>0.0186013986013986</v>
      </c>
    </row>
    <row r="10" spans="1:2">
      <c r="A10" s="6" t="s">
        <v>398</v>
      </c>
      <c r="B10" s="7">
        <v>0.025625</v>
      </c>
    </row>
    <row r="11" spans="1:2">
      <c r="A11" s="6" t="s">
        <v>399</v>
      </c>
      <c r="B11" s="7">
        <v>0.0197794117647059</v>
      </c>
    </row>
    <row r="12" spans="1:2">
      <c r="A12" s="6" t="s">
        <v>400</v>
      </c>
      <c r="B12" s="7">
        <v>0.0259459459459459</v>
      </c>
    </row>
    <row r="13" spans="1:2">
      <c r="A13" s="6" t="s">
        <v>401</v>
      </c>
      <c r="B13" s="7">
        <v>0.0244642857142857</v>
      </c>
    </row>
    <row r="14" spans="1:2">
      <c r="A14" s="6" t="s">
        <v>402</v>
      </c>
      <c r="B14" s="7">
        <v>0.0193548387096774</v>
      </c>
    </row>
    <row r="15" spans="1:2">
      <c r="A15" s="6" t="s">
        <v>403</v>
      </c>
      <c r="B15" s="7">
        <v>0.00761904761904762</v>
      </c>
    </row>
    <row r="16" spans="1:2">
      <c r="A16" s="6" t="s">
        <v>404</v>
      </c>
      <c r="B16" s="7">
        <v>0.0088421052631579</v>
      </c>
    </row>
    <row r="17" spans="1:2">
      <c r="A17" s="6" t="s">
        <v>405</v>
      </c>
      <c r="B17" s="7">
        <v>0.0137837837837838</v>
      </c>
    </row>
    <row r="18" spans="1:2">
      <c r="A18" s="6" t="s">
        <v>406</v>
      </c>
      <c r="B18" s="7">
        <v>0.0154716981132075</v>
      </c>
    </row>
    <row r="19" spans="1:2">
      <c r="A19" s="6" t="s">
        <v>407</v>
      </c>
      <c r="B19" s="7">
        <v>0.00545454545454545</v>
      </c>
    </row>
    <row r="20" spans="1:2">
      <c r="A20" s="6" t="s">
        <v>408</v>
      </c>
      <c r="B20" s="7">
        <v>0.0127027027027027</v>
      </c>
    </row>
    <row r="21" spans="1:2">
      <c r="A21" s="6" t="s">
        <v>409</v>
      </c>
      <c r="B21" s="7">
        <v>0.0235294117647059</v>
      </c>
    </row>
    <row r="22" spans="1:2">
      <c r="A22" s="6" t="s">
        <v>410</v>
      </c>
      <c r="B22" s="7">
        <v>0.0110204081632653</v>
      </c>
    </row>
    <row r="23" spans="1:2">
      <c r="A23" s="6" t="s">
        <v>411</v>
      </c>
      <c r="B23" s="7">
        <v>0.00695652173913043</v>
      </c>
    </row>
    <row r="24" spans="1:2">
      <c r="A24" s="6" t="s">
        <v>412</v>
      </c>
      <c r="B24" s="7">
        <v>0.00037122969837587</v>
      </c>
    </row>
    <row r="25" spans="1:2">
      <c r="A25" s="6" t="s">
        <v>413</v>
      </c>
      <c r="B25" s="7">
        <v>0.00745098039215686</v>
      </c>
    </row>
    <row r="26" spans="1:2">
      <c r="A26" s="6" t="s">
        <v>414</v>
      </c>
      <c r="B26" s="7">
        <v>0.0065</v>
      </c>
    </row>
    <row r="27" spans="1:2">
      <c r="A27" s="6" t="s">
        <v>415</v>
      </c>
      <c r="B27" s="7">
        <v>0.0143283582089552</v>
      </c>
    </row>
    <row r="28" spans="1:2">
      <c r="A28" s="6" t="s">
        <v>416</v>
      </c>
      <c r="B28" s="7">
        <v>0.01688</v>
      </c>
    </row>
    <row r="29" spans="1:2">
      <c r="A29" s="6" t="s">
        <v>417</v>
      </c>
      <c r="B29" s="7">
        <v>0.01157</v>
      </c>
    </row>
    <row r="30" spans="1:2">
      <c r="A30" s="6" t="s">
        <v>418</v>
      </c>
      <c r="B30" s="7">
        <v>0.00909090909090909</v>
      </c>
    </row>
    <row r="31" spans="1:2">
      <c r="A31" s="6" t="s">
        <v>419</v>
      </c>
      <c r="B31" s="7">
        <v>0.000495745963689958</v>
      </c>
    </row>
    <row r="32" spans="1:2">
      <c r="A32" s="6" t="s">
        <v>420</v>
      </c>
      <c r="B32" s="7">
        <v>0.000819145518792162</v>
      </c>
    </row>
    <row r="33" spans="1:2">
      <c r="A33" s="6" t="s">
        <v>421</v>
      </c>
      <c r="B33" s="7">
        <v>0.018732782369146</v>
      </c>
    </row>
    <row r="34" spans="1:2">
      <c r="A34" s="6" t="s">
        <v>422</v>
      </c>
      <c r="B34" s="7">
        <v>0.00980861244019139</v>
      </c>
    </row>
    <row r="35" spans="1:2">
      <c r="A35" s="6" t="s">
        <v>423</v>
      </c>
      <c r="B35" s="7">
        <v>0.00696969696969697</v>
      </c>
    </row>
    <row r="36" spans="1:2">
      <c r="A36" s="6" t="s">
        <v>424</v>
      </c>
      <c r="B36" s="7">
        <v>0.0101818181818182</v>
      </c>
    </row>
    <row r="37" spans="1:2">
      <c r="A37" s="6" t="s">
        <v>425</v>
      </c>
      <c r="B37" s="7">
        <v>0.0198802395209581</v>
      </c>
    </row>
    <row r="38" spans="1:2">
      <c r="A38" s="6" t="s">
        <v>426</v>
      </c>
      <c r="B38" s="7">
        <v>0.0184974093264249</v>
      </c>
    </row>
    <row r="39" spans="1:2">
      <c r="A39" s="6" t="s">
        <v>427</v>
      </c>
      <c r="B39" s="7">
        <v>0.0211374407582938</v>
      </c>
    </row>
    <row r="40" spans="1:2">
      <c r="A40" s="6" t="s">
        <v>428</v>
      </c>
      <c r="B40" s="7">
        <v>0.0179014308426073</v>
      </c>
    </row>
    <row r="41" spans="1:2">
      <c r="A41" s="6" t="s">
        <v>429</v>
      </c>
      <c r="B41" s="7">
        <v>0.0186570743405276</v>
      </c>
    </row>
    <row r="42" spans="1:2">
      <c r="A42" s="6" t="s">
        <v>430</v>
      </c>
      <c r="B42" s="7">
        <v>0.0188990825688073</v>
      </c>
    </row>
    <row r="43" spans="1:2">
      <c r="A43" s="6" t="s">
        <v>431</v>
      </c>
      <c r="B43" s="7">
        <v>0.0296739130434783</v>
      </c>
    </row>
    <row r="44" spans="1:2">
      <c r="A44" s="6" t="s">
        <v>432</v>
      </c>
      <c r="B44" s="7">
        <v>0.0354893617021277</v>
      </c>
    </row>
    <row r="45" spans="1:2">
      <c r="A45" s="6" t="s">
        <v>433</v>
      </c>
      <c r="B45" s="7">
        <v>0.0245</v>
      </c>
    </row>
    <row r="46" spans="1:2">
      <c r="A46" s="6" t="s">
        <v>434</v>
      </c>
      <c r="B46" s="7">
        <v>0.016</v>
      </c>
    </row>
    <row r="47" spans="1:2">
      <c r="A47" s="6" t="s">
        <v>435</v>
      </c>
      <c r="B47" s="7">
        <v>0.0136170212765957</v>
      </c>
    </row>
    <row r="48" spans="1:2">
      <c r="A48" s="6" t="s">
        <v>436</v>
      </c>
      <c r="B48" s="7">
        <v>0.0311111111111111</v>
      </c>
    </row>
    <row r="49" spans="1:2">
      <c r="A49" s="6" t="s">
        <v>437</v>
      </c>
      <c r="B49" s="7">
        <v>0.0033096926713948</v>
      </c>
    </row>
    <row r="50" spans="1:2">
      <c r="A50" s="6" t="s">
        <v>438</v>
      </c>
      <c r="B50" s="7">
        <v>0.000921052631578947</v>
      </c>
    </row>
    <row r="51" spans="1:2">
      <c r="A51" s="6" t="s">
        <v>439</v>
      </c>
      <c r="B51" s="7">
        <v>0.0011787072243346</v>
      </c>
    </row>
    <row r="52" spans="1:2">
      <c r="A52" s="6" t="s">
        <v>440</v>
      </c>
      <c r="B52" s="7">
        <v>0.00142857142857143</v>
      </c>
    </row>
    <row r="53" spans="1:2">
      <c r="A53" s="6" t="s">
        <v>441</v>
      </c>
      <c r="B53" s="7">
        <v>0.000823327615780446</v>
      </c>
    </row>
    <row r="54" spans="1:2">
      <c r="A54" s="6" t="s">
        <v>442</v>
      </c>
      <c r="B54" s="7">
        <v>0.00378787878787879</v>
      </c>
    </row>
    <row r="55" spans="1:2">
      <c r="A55" s="6" t="s">
        <v>443</v>
      </c>
      <c r="B55" s="7">
        <v>0.00456692913385827</v>
      </c>
    </row>
    <row r="56" spans="1:2">
      <c r="A56" s="6" t="s">
        <v>444</v>
      </c>
      <c r="B56" s="7">
        <v>0.00117073170731707</v>
      </c>
    </row>
    <row r="57" spans="1:2">
      <c r="A57" s="6" t="s">
        <v>445</v>
      </c>
      <c r="B57" s="7">
        <v>0.001875</v>
      </c>
    </row>
    <row r="58" spans="1:2">
      <c r="A58" s="6" t="s">
        <v>446</v>
      </c>
      <c r="B58" s="7">
        <v>0.00193211488250653</v>
      </c>
    </row>
    <row r="59" spans="1:2">
      <c r="A59" s="6" t="s">
        <v>447</v>
      </c>
      <c r="B59" s="7">
        <v>0.00191780821917808</v>
      </c>
    </row>
    <row r="60" spans="1:2">
      <c r="A60" s="6" t="s">
        <v>448</v>
      </c>
      <c r="B60" s="7">
        <v>0.00281879194630872</v>
      </c>
    </row>
    <row r="61" spans="1:2">
      <c r="A61" s="6" t="s">
        <v>449</v>
      </c>
      <c r="B61" s="7">
        <v>0.00140350877192982</v>
      </c>
    </row>
    <row r="62" spans="1:2">
      <c r="A62" s="6" t="s">
        <v>450</v>
      </c>
      <c r="B62" s="7">
        <v>0.00220472440944882</v>
      </c>
    </row>
    <row r="63" spans="1:2">
      <c r="A63" s="6" t="s">
        <v>451</v>
      </c>
      <c r="B63" s="7">
        <v>0.00141327623126338</v>
      </c>
    </row>
    <row r="64" spans="1:2">
      <c r="A64" s="6" t="s">
        <v>452</v>
      </c>
      <c r="B64" s="7">
        <v>0.0014207650273224</v>
      </c>
    </row>
    <row r="65" spans="1:2">
      <c r="A65" s="6" t="s">
        <v>27</v>
      </c>
      <c r="B65" s="7">
        <v>0.000639097744360902</v>
      </c>
    </row>
    <row r="66" spans="1:2">
      <c r="A66" s="6" t="s">
        <v>28</v>
      </c>
      <c r="B66" s="7">
        <v>0.000766550522648084</v>
      </c>
    </row>
    <row r="67" spans="1:2">
      <c r="A67" s="6" t="s">
        <v>29</v>
      </c>
      <c r="B67" s="7">
        <v>0.000558659217877095</v>
      </c>
    </row>
    <row r="68" spans="1:2">
      <c r="A68" s="6" t="s">
        <v>30</v>
      </c>
      <c r="B68" s="7">
        <v>0.00105263157894737</v>
      </c>
    </row>
    <row r="69" spans="1:2">
      <c r="A69" s="6" t="s">
        <v>31</v>
      </c>
      <c r="B69" s="7">
        <v>0.000481927710843374</v>
      </c>
    </row>
    <row r="70" spans="1:2">
      <c r="A70" s="6" t="s">
        <v>32</v>
      </c>
      <c r="B70" s="7">
        <v>0.0008</v>
      </c>
    </row>
    <row r="71" spans="1:2">
      <c r="A71" s="6" t="s">
        <v>33</v>
      </c>
      <c r="B71" s="7">
        <v>0.00237547892720307</v>
      </c>
    </row>
    <row r="72" spans="1:2">
      <c r="A72" s="6" t="s">
        <v>34</v>
      </c>
      <c r="B72" s="7">
        <v>0.000300136425648022</v>
      </c>
    </row>
    <row r="73" spans="1:2">
      <c r="A73" s="6" t="s">
        <v>35</v>
      </c>
      <c r="B73" s="7">
        <v>0.000148698884758364</v>
      </c>
    </row>
    <row r="74" spans="1:2">
      <c r="A74" s="6" t="s">
        <v>453</v>
      </c>
      <c r="B74" s="7">
        <v>0.000522388059701492</v>
      </c>
    </row>
    <row r="75" spans="1:2">
      <c r="A75" s="6" t="s">
        <v>454</v>
      </c>
      <c r="B75" s="7">
        <v>0.000700389105058366</v>
      </c>
    </row>
    <row r="76" spans="1:2">
      <c r="A76" s="6" t="s">
        <v>455</v>
      </c>
      <c r="B76" s="7">
        <v>0.000765124555160142</v>
      </c>
    </row>
    <row r="77" spans="1:2">
      <c r="A77" s="6" t="s">
        <v>456</v>
      </c>
      <c r="B77" s="7">
        <v>0.00056701030927835</v>
      </c>
    </row>
    <row r="78" spans="1:2">
      <c r="A78" s="6" t="s">
        <v>457</v>
      </c>
      <c r="B78" s="7">
        <v>0.000418848167539267</v>
      </c>
    </row>
    <row r="79" spans="1:2">
      <c r="A79" s="6" t="s">
        <v>458</v>
      </c>
      <c r="B79" s="7">
        <v>0.000760869565217391</v>
      </c>
    </row>
    <row r="80" spans="1:2">
      <c r="A80" s="6" t="s">
        <v>459</v>
      </c>
      <c r="B80" s="7">
        <v>0.000535117056856187</v>
      </c>
    </row>
    <row r="81" spans="1:2">
      <c r="A81" s="6" t="s">
        <v>460</v>
      </c>
      <c r="B81" s="7">
        <v>0.000277777777777778</v>
      </c>
    </row>
    <row r="82" spans="1:2">
      <c r="A82" s="6" t="s">
        <v>461</v>
      </c>
      <c r="B82" s="7">
        <v>0.000819672131147541</v>
      </c>
    </row>
    <row r="83" spans="1:2">
      <c r="A83" s="6" t="s">
        <v>462</v>
      </c>
      <c r="B83" s="7">
        <v>0.000540540540540541</v>
      </c>
    </row>
    <row r="84" spans="1:2">
      <c r="A84" s="6" t="s">
        <v>463</v>
      </c>
      <c r="B84" s="7">
        <v>0.000361990950226244</v>
      </c>
    </row>
    <row r="85" spans="1:2">
      <c r="A85" s="6" t="s">
        <v>464</v>
      </c>
      <c r="B85" s="7">
        <v>0.000693069306930693</v>
      </c>
    </row>
    <row r="86" spans="1:2">
      <c r="A86" s="6" t="s">
        <v>465</v>
      </c>
      <c r="B86" s="7">
        <v>0.000693069306930693</v>
      </c>
    </row>
    <row r="87" spans="1:2">
      <c r="A87" s="6" t="s">
        <v>466</v>
      </c>
      <c r="B87" s="7">
        <v>0.000780487804878049</v>
      </c>
    </row>
    <row r="88" spans="1:2">
      <c r="A88" s="10" t="s">
        <v>467</v>
      </c>
      <c r="B88" s="11">
        <v>0.000392156862745098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C64"/>
  <sheetViews>
    <sheetView workbookViewId="0">
      <selection activeCell="B6" sqref="B6"/>
    </sheetView>
  </sheetViews>
  <sheetFormatPr defaultColWidth="8.87692307692308" defaultRowHeight="15.5" outlineLevelCol="2"/>
  <cols>
    <col min="1" max="1" width="8.87692307692308" style="1"/>
    <col min="2" max="2" width="39.0615384615385" style="2" customWidth="1"/>
    <col min="3" max="3" width="45.2923076923077" style="2" customWidth="1"/>
  </cols>
  <sheetData>
    <row r="1" spans="1:3">
      <c r="A1" s="3" t="s">
        <v>388</v>
      </c>
      <c r="B1" s="3" t="s">
        <v>468</v>
      </c>
      <c r="C1" s="3" t="s">
        <v>469</v>
      </c>
    </row>
    <row r="2" spans="1:3">
      <c r="A2" s="3" t="s">
        <v>390</v>
      </c>
      <c r="B2" s="5">
        <v>0.0195979899497487</v>
      </c>
      <c r="C2" s="5">
        <v>0.018894472361809</v>
      </c>
    </row>
    <row r="3" spans="1:3">
      <c r="A3" s="3" t="s">
        <v>391</v>
      </c>
      <c r="B3" s="5">
        <v>0.020609756097561</v>
      </c>
      <c r="C3" s="5">
        <v>0.020609756097561</v>
      </c>
    </row>
    <row r="4" spans="1:3">
      <c r="A4" s="3" t="s">
        <v>392</v>
      </c>
      <c r="B4" s="5">
        <v>0.0223030303030303</v>
      </c>
      <c r="C4" s="5">
        <v>0.0189090909090909</v>
      </c>
    </row>
    <row r="5" spans="1:3">
      <c r="A5" s="3" t="s">
        <v>393</v>
      </c>
      <c r="B5" s="5">
        <v>0.0215770609318996</v>
      </c>
      <c r="C5" s="5">
        <v>0.0199283154121864</v>
      </c>
    </row>
    <row r="6" spans="1:3">
      <c r="A6" s="3" t="s">
        <v>394</v>
      </c>
      <c r="B6" s="5">
        <v>0.0147540983606557</v>
      </c>
      <c r="C6" s="5">
        <v>0.015327868852459</v>
      </c>
    </row>
    <row r="7" spans="1:3">
      <c r="A7" s="3" t="s">
        <v>395</v>
      </c>
      <c r="B7" s="5">
        <v>0.0195024875621891</v>
      </c>
      <c r="C7" s="5">
        <v>0.0190049751243781</v>
      </c>
    </row>
    <row r="8" spans="1:3">
      <c r="A8" s="3" t="s">
        <v>396</v>
      </c>
      <c r="B8" s="5">
        <v>0.021195652173913</v>
      </c>
      <c r="C8" s="5">
        <v>0.0204347826086957</v>
      </c>
    </row>
    <row r="9" spans="1:3">
      <c r="A9" s="3" t="s">
        <v>397</v>
      </c>
      <c r="B9" s="5">
        <v>0.0186013986013986</v>
      </c>
      <c r="C9" s="5">
        <v>0.0208391608391608</v>
      </c>
    </row>
    <row r="10" spans="1:3">
      <c r="A10" s="3" t="s">
        <v>398</v>
      </c>
      <c r="B10" s="5">
        <v>0.025625</v>
      </c>
      <c r="C10" s="5">
        <v>0.0201785714285714</v>
      </c>
    </row>
    <row r="11" spans="1:3">
      <c r="A11" s="3" t="s">
        <v>399</v>
      </c>
      <c r="B11" s="5">
        <v>0.0197794117647059</v>
      </c>
      <c r="C11" s="5">
        <v>0.0226470588235294</v>
      </c>
    </row>
    <row r="12" spans="1:3">
      <c r="A12" s="3" t="s">
        <v>400</v>
      </c>
      <c r="B12" s="5">
        <v>0.0259459459459459</v>
      </c>
      <c r="C12" s="5">
        <v>0.0245045045045045</v>
      </c>
    </row>
    <row r="13" spans="1:3">
      <c r="A13" s="3" t="s">
        <v>401</v>
      </c>
      <c r="B13" s="5">
        <v>0.0244642857142857</v>
      </c>
      <c r="C13" s="5">
        <v>0.0192857142857143</v>
      </c>
    </row>
    <row r="14" spans="1:3">
      <c r="A14" s="3" t="s">
        <v>402</v>
      </c>
      <c r="B14" s="5">
        <v>0.0193548387096774</v>
      </c>
      <c r="C14" s="5">
        <v>0.0160215053763441</v>
      </c>
    </row>
    <row r="15" spans="1:3">
      <c r="A15" s="3" t="s">
        <v>403</v>
      </c>
      <c r="B15" s="5">
        <v>0.00761904761904762</v>
      </c>
      <c r="C15" s="5">
        <v>0.0161904761904762</v>
      </c>
    </row>
    <row r="16" spans="1:3">
      <c r="A16" s="3" t="s">
        <v>404</v>
      </c>
      <c r="B16" s="5">
        <v>0.0088421052631579</v>
      </c>
      <c r="C16" s="5">
        <v>0.012</v>
      </c>
    </row>
    <row r="17" spans="1:3">
      <c r="A17" s="3" t="s">
        <v>405</v>
      </c>
      <c r="B17" s="5">
        <v>0.0137837837837838</v>
      </c>
      <c r="C17" s="5">
        <v>0.0151351351351351</v>
      </c>
    </row>
    <row r="18" spans="1:3">
      <c r="A18" s="3" t="s">
        <v>406</v>
      </c>
      <c r="B18" s="5">
        <v>0.0154716981132075</v>
      </c>
      <c r="C18" s="5">
        <v>0.0116981132075472</v>
      </c>
    </row>
    <row r="19" spans="1:3">
      <c r="A19" s="3" t="s">
        <v>407</v>
      </c>
      <c r="B19" s="5">
        <v>0.00545454545454545</v>
      </c>
      <c r="C19" s="5">
        <v>0.0038961038961039</v>
      </c>
    </row>
    <row r="20" spans="1:3">
      <c r="A20" s="3" t="s">
        <v>408</v>
      </c>
      <c r="B20" s="5">
        <v>0.0127027027027027</v>
      </c>
      <c r="C20" s="5">
        <v>0.00864864864864865</v>
      </c>
    </row>
    <row r="21" spans="1:3">
      <c r="A21" s="3" t="s">
        <v>409</v>
      </c>
      <c r="B21" s="5">
        <v>0.0235294117647059</v>
      </c>
      <c r="C21" s="5">
        <v>0.027843137254902</v>
      </c>
    </row>
    <row r="22" spans="1:3">
      <c r="A22" s="3" t="s">
        <v>410</v>
      </c>
      <c r="B22" s="5">
        <v>0.0110204081632653</v>
      </c>
      <c r="C22" s="5">
        <v>0.0102040816326531</v>
      </c>
    </row>
    <row r="23" spans="1:3">
      <c r="A23" s="3" t="s">
        <v>411</v>
      </c>
      <c r="B23" s="5">
        <v>0.00695652173913043</v>
      </c>
      <c r="C23" s="5">
        <v>0.00826086956521739</v>
      </c>
    </row>
    <row r="24" spans="1:3">
      <c r="A24" s="3" t="s">
        <v>412</v>
      </c>
      <c r="B24" s="5">
        <v>0.00037122969837587</v>
      </c>
      <c r="C24" s="5">
        <v>0.000881670533642691</v>
      </c>
    </row>
    <row r="25" spans="1:3">
      <c r="A25" s="3" t="s">
        <v>413</v>
      </c>
      <c r="B25" s="5">
        <v>0.00745098039215686</v>
      </c>
      <c r="C25" s="5">
        <v>0.00627450980392157</v>
      </c>
    </row>
    <row r="26" spans="1:3">
      <c r="A26" s="3" t="s">
        <v>414</v>
      </c>
      <c r="B26" s="5">
        <v>0.0065</v>
      </c>
      <c r="C26" s="5">
        <v>0.0055</v>
      </c>
    </row>
    <row r="27" spans="1:3">
      <c r="A27" s="3" t="s">
        <v>415</v>
      </c>
      <c r="B27" s="5">
        <v>0.0143283582089552</v>
      </c>
      <c r="C27" s="5">
        <v>0.00985074626865672</v>
      </c>
    </row>
    <row r="28" spans="1:3">
      <c r="A28" s="3" t="s">
        <v>416</v>
      </c>
      <c r="B28" s="5">
        <v>0.01688</v>
      </c>
      <c r="C28" s="5">
        <v>0.0043</v>
      </c>
    </row>
    <row r="29" spans="1:3">
      <c r="A29" s="3" t="s">
        <v>417</v>
      </c>
      <c r="B29" s="5">
        <v>0.01157</v>
      </c>
      <c r="C29" s="5">
        <v>0.00331</v>
      </c>
    </row>
    <row r="30" spans="1:3">
      <c r="A30" s="3" t="s">
        <v>418</v>
      </c>
      <c r="B30" s="5">
        <v>0.00909090909090909</v>
      </c>
      <c r="C30" s="5">
        <v>0.00606060606060606</v>
      </c>
    </row>
    <row r="31" spans="1:3">
      <c r="A31" s="3" t="s">
        <v>419</v>
      </c>
      <c r="B31" s="5">
        <v>0.000495745963689958</v>
      </c>
      <c r="C31" s="5">
        <v>0.00296107724258056</v>
      </c>
    </row>
    <row r="32" spans="1:3">
      <c r="A32" s="3" t="s">
        <v>420</v>
      </c>
      <c r="B32" s="5">
        <v>0.000819145518792162</v>
      </c>
      <c r="C32" s="5">
        <v>0.00281079344683585</v>
      </c>
    </row>
    <row r="33" spans="1:3">
      <c r="A33" s="3" t="s">
        <v>421</v>
      </c>
      <c r="B33" s="5">
        <v>0.018732782369146</v>
      </c>
      <c r="C33" s="5">
        <v>0.00716253443526171</v>
      </c>
    </row>
    <row r="34" spans="1:3">
      <c r="A34" s="3" t="s">
        <v>422</v>
      </c>
      <c r="B34" s="5">
        <v>0.00980861244019139</v>
      </c>
      <c r="C34" s="5">
        <v>0.00167464114832536</v>
      </c>
    </row>
    <row r="35" spans="1:3">
      <c r="A35" s="3" t="s">
        <v>423</v>
      </c>
      <c r="B35" s="5">
        <v>0.00696969696969697</v>
      </c>
      <c r="C35" s="5">
        <v>0.00181818181818182</v>
      </c>
    </row>
    <row r="36" spans="1:3">
      <c r="A36" s="3" t="s">
        <v>424</v>
      </c>
      <c r="B36" s="5">
        <v>0.0101818181818182</v>
      </c>
      <c r="C36" s="5">
        <v>0.00290909090909091</v>
      </c>
    </row>
    <row r="37" spans="1:3">
      <c r="A37" s="3" t="s">
        <v>425</v>
      </c>
      <c r="B37" s="5">
        <v>0.0198802395209581</v>
      </c>
      <c r="C37" s="5">
        <v>0.0310179640718563</v>
      </c>
    </row>
    <row r="38" spans="1:3">
      <c r="A38" s="3" t="s">
        <v>426</v>
      </c>
      <c r="B38" s="5">
        <v>0.0184974093264249</v>
      </c>
      <c r="C38" s="5">
        <v>0.021139896373057</v>
      </c>
    </row>
    <row r="39" spans="1:3">
      <c r="A39" s="3" t="s">
        <v>427</v>
      </c>
      <c r="B39" s="5">
        <v>0.0211374407582938</v>
      </c>
      <c r="C39" s="5">
        <v>0.0282464454976303</v>
      </c>
    </row>
    <row r="40" spans="1:3">
      <c r="A40" s="3" t="s">
        <v>428</v>
      </c>
      <c r="B40" s="5">
        <v>0.0179014308426073</v>
      </c>
      <c r="C40" s="5">
        <v>0.018060413354531</v>
      </c>
    </row>
    <row r="41" spans="1:3">
      <c r="A41" s="3" t="s">
        <v>429</v>
      </c>
      <c r="B41" s="5">
        <v>0.0186570743405276</v>
      </c>
      <c r="C41" s="5">
        <v>0.0206714628297362</v>
      </c>
    </row>
    <row r="42" spans="1:3">
      <c r="A42" s="3" t="s">
        <v>430</v>
      </c>
      <c r="B42" s="5">
        <v>0.0188990825688073</v>
      </c>
      <c r="C42" s="5">
        <v>0.0310091743119266</v>
      </c>
    </row>
    <row r="43" spans="1:3">
      <c r="A43" s="3" t="s">
        <v>431</v>
      </c>
      <c r="B43" s="5">
        <v>0.0296739130434783</v>
      </c>
      <c r="C43" s="5">
        <v>0.035</v>
      </c>
    </row>
    <row r="44" spans="1:3">
      <c r="A44" s="3" t="s">
        <v>432</v>
      </c>
      <c r="B44" s="5">
        <v>0.0354893617021277</v>
      </c>
      <c r="C44" s="5">
        <v>0.0530212765957447</v>
      </c>
    </row>
    <row r="45" spans="1:3">
      <c r="A45" s="3" t="s">
        <v>433</v>
      </c>
      <c r="B45" s="5">
        <v>0.0245</v>
      </c>
      <c r="C45" s="5">
        <v>0.024</v>
      </c>
    </row>
    <row r="46" spans="1:3">
      <c r="A46" s="3" t="s">
        <v>434</v>
      </c>
      <c r="B46" s="5">
        <v>0.016</v>
      </c>
      <c r="C46" s="5">
        <v>0.0231111111111111</v>
      </c>
    </row>
    <row r="47" spans="1:3">
      <c r="A47" s="3" t="s">
        <v>435</v>
      </c>
      <c r="B47" s="5">
        <v>0.0136170212765957</v>
      </c>
      <c r="C47" s="5">
        <v>0.0165957446808511</v>
      </c>
    </row>
    <row r="48" spans="1:3">
      <c r="A48" s="3" t="s">
        <v>436</v>
      </c>
      <c r="B48" s="5">
        <v>0.0311111111111111</v>
      </c>
      <c r="C48" s="5">
        <v>0.0411111111111111</v>
      </c>
    </row>
    <row r="49" spans="1:3">
      <c r="A49" s="3" t="s">
        <v>437</v>
      </c>
      <c r="B49" s="5">
        <v>0.0033096926713948</v>
      </c>
      <c r="C49" s="5">
        <v>0.00680851063829787</v>
      </c>
    </row>
    <row r="50" spans="1:3">
      <c r="A50" s="3" t="s">
        <v>438</v>
      </c>
      <c r="B50" s="5">
        <v>0.000921052631578947</v>
      </c>
      <c r="C50" s="5">
        <v>0.00118421052631579</v>
      </c>
    </row>
    <row r="51" spans="1:3">
      <c r="A51" s="3" t="s">
        <v>439</v>
      </c>
      <c r="B51" s="5">
        <v>0.0011787072243346</v>
      </c>
      <c r="C51" s="5">
        <v>0.00247148288973384</v>
      </c>
    </row>
    <row r="52" spans="1:3">
      <c r="A52" s="3" t="s">
        <v>440</v>
      </c>
      <c r="B52" s="5">
        <v>0.00142857142857143</v>
      </c>
      <c r="C52" s="5">
        <v>0.000909090909090909</v>
      </c>
    </row>
    <row r="53" spans="1:3">
      <c r="A53" s="3" t="s">
        <v>441</v>
      </c>
      <c r="B53" s="5">
        <v>0.000823327615780446</v>
      </c>
      <c r="C53" s="5">
        <v>0.00267581475128645</v>
      </c>
    </row>
    <row r="54" spans="1:3">
      <c r="A54" s="3" t="s">
        <v>442</v>
      </c>
      <c r="B54" s="5">
        <v>0.00378787878787879</v>
      </c>
      <c r="C54" s="5">
        <v>0.00742424242424242</v>
      </c>
    </row>
    <row r="55" spans="1:3">
      <c r="A55" s="3" t="s">
        <v>443</v>
      </c>
      <c r="B55" s="5">
        <v>0.00456692913385827</v>
      </c>
      <c r="C55" s="5">
        <v>0.00299212598425197</v>
      </c>
    </row>
    <row r="56" spans="1:3">
      <c r="A56" s="3" t="s">
        <v>444</v>
      </c>
      <c r="B56" s="5">
        <v>0.00117073170731707</v>
      </c>
      <c r="C56" s="5">
        <v>0.00165853658536585</v>
      </c>
    </row>
    <row r="57" spans="1:3">
      <c r="A57" s="3" t="s">
        <v>445</v>
      </c>
      <c r="B57" s="5">
        <v>0.001875</v>
      </c>
      <c r="C57" s="5">
        <v>0.00364583333333333</v>
      </c>
    </row>
    <row r="58" spans="1:3">
      <c r="A58" s="3" t="s">
        <v>446</v>
      </c>
      <c r="B58" s="5">
        <v>0.00193211488250653</v>
      </c>
      <c r="C58" s="5">
        <v>0.00255874673629243</v>
      </c>
    </row>
    <row r="59" spans="1:3">
      <c r="A59" s="3" t="s">
        <v>447</v>
      </c>
      <c r="B59" s="5">
        <v>0.00191780821917808</v>
      </c>
      <c r="C59" s="5">
        <v>0.00164383561643836</v>
      </c>
    </row>
    <row r="60" spans="1:3">
      <c r="A60" s="3" t="s">
        <v>448</v>
      </c>
      <c r="B60" s="5">
        <v>0.00281879194630872</v>
      </c>
      <c r="C60" s="5">
        <v>0.00295302013422819</v>
      </c>
    </row>
    <row r="61" spans="1:3">
      <c r="A61" s="3" t="s">
        <v>449</v>
      </c>
      <c r="B61" s="5">
        <v>0.00140350877192982</v>
      </c>
      <c r="C61" s="5">
        <v>0.00298245614035088</v>
      </c>
    </row>
    <row r="62" spans="1:3">
      <c r="A62" s="3" t="s">
        <v>450</v>
      </c>
      <c r="B62" s="5">
        <v>0.00220472440944882</v>
      </c>
      <c r="C62" s="5">
        <v>0.00110236220472441</v>
      </c>
    </row>
    <row r="63" spans="1:3">
      <c r="A63" s="3" t="s">
        <v>451</v>
      </c>
      <c r="B63" s="5">
        <v>0.00141327623126338</v>
      </c>
      <c r="C63" s="5">
        <v>0.00167023554603854</v>
      </c>
    </row>
    <row r="64" spans="1:3">
      <c r="A64" s="3" t="s">
        <v>452</v>
      </c>
      <c r="B64" s="5">
        <v>0.0014207650273224</v>
      </c>
      <c r="C64" s="5">
        <v>0.00234972677595628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C64"/>
  <sheetViews>
    <sheetView workbookViewId="0">
      <selection activeCell="B8" sqref="B8"/>
    </sheetView>
  </sheetViews>
  <sheetFormatPr defaultColWidth="8.87692307692308" defaultRowHeight="15.5" outlineLevelCol="2"/>
  <cols>
    <col min="1" max="1" width="8.87692307692308" style="1"/>
    <col min="2" max="2" width="41" style="2" customWidth="1"/>
    <col min="3" max="3" width="31.0615384615385" style="2" customWidth="1"/>
  </cols>
  <sheetData>
    <row r="1" s="1" customFormat="1" spans="1:3">
      <c r="A1" s="3" t="s">
        <v>388</v>
      </c>
      <c r="B1" s="3" t="s">
        <v>468</v>
      </c>
      <c r="C1" s="3" t="s">
        <v>470</v>
      </c>
    </row>
    <row r="2" spans="1:3">
      <c r="A2" s="3" t="s">
        <v>390</v>
      </c>
      <c r="B2" s="5">
        <v>0.0195979899497487</v>
      </c>
      <c r="C2" s="5">
        <v>0.0141818181818182</v>
      </c>
    </row>
    <row r="3" spans="1:3">
      <c r="A3" s="3" t="s">
        <v>391</v>
      </c>
      <c r="B3" s="5">
        <v>0.020609756097561</v>
      </c>
      <c r="C3" s="5">
        <v>0.0141007194244604</v>
      </c>
    </row>
    <row r="4" spans="1:3">
      <c r="A4" s="3" t="s">
        <v>392</v>
      </c>
      <c r="B4" s="5">
        <v>0.0223030303030303</v>
      </c>
      <c r="C4" s="5">
        <v>0.0159798994974874</v>
      </c>
    </row>
    <row r="5" spans="1:3">
      <c r="A5" s="3" t="s">
        <v>393</v>
      </c>
      <c r="B5" s="5">
        <v>0.0215770609318996</v>
      </c>
      <c r="C5" s="5">
        <v>0.0138351254480287</v>
      </c>
    </row>
    <row r="6" spans="1:3">
      <c r="A6" s="3" t="s">
        <v>394</v>
      </c>
      <c r="B6" s="5">
        <v>0.0147540983606557</v>
      </c>
      <c r="C6" s="5">
        <v>0.0117847025495751</v>
      </c>
    </row>
    <row r="7" spans="1:3">
      <c r="A7" s="3" t="s">
        <v>395</v>
      </c>
      <c r="B7" s="5">
        <v>0.0195024875621891</v>
      </c>
      <c r="C7" s="5">
        <v>0.0119402985074627</v>
      </c>
    </row>
    <row r="8" spans="1:3">
      <c r="A8" s="3" t="s">
        <v>396</v>
      </c>
      <c r="B8" s="5">
        <v>0.021195652173913</v>
      </c>
      <c r="C8" s="5">
        <v>0.0144565217391304</v>
      </c>
    </row>
    <row r="9" spans="1:3">
      <c r="A9" s="3" t="s">
        <v>397</v>
      </c>
      <c r="B9" s="5">
        <v>0.0186013986013986</v>
      </c>
      <c r="C9" s="5">
        <v>0.018041958041958</v>
      </c>
    </row>
    <row r="10" spans="1:3">
      <c r="A10" s="3" t="s">
        <v>398</v>
      </c>
      <c r="B10" s="5">
        <v>0.025625</v>
      </c>
      <c r="C10" s="5">
        <v>0.0138392857142857</v>
      </c>
    </row>
    <row r="11" spans="1:3">
      <c r="A11" s="3" t="s">
        <v>399</v>
      </c>
      <c r="B11" s="5">
        <v>0.0197794117647059</v>
      </c>
      <c r="C11" s="5">
        <v>0.0164864864864865</v>
      </c>
    </row>
    <row r="12" spans="1:3">
      <c r="A12" s="3" t="s">
        <v>400</v>
      </c>
      <c r="B12" s="5">
        <v>0.0259459459459459</v>
      </c>
      <c r="C12" s="5">
        <v>0.0142647058823529</v>
      </c>
    </row>
    <row r="13" spans="1:3">
      <c r="A13" s="3" t="s">
        <v>401</v>
      </c>
      <c r="B13" s="5">
        <v>0.0244642857142857</v>
      </c>
      <c r="C13" s="5">
        <v>0.015625</v>
      </c>
    </row>
    <row r="14" spans="1:3">
      <c r="A14" s="3" t="s">
        <v>402</v>
      </c>
      <c r="B14" s="5">
        <v>0.0193548387096774</v>
      </c>
      <c r="C14" s="5">
        <v>0.0180645161290323</v>
      </c>
    </row>
    <row r="15" spans="1:3">
      <c r="A15" s="3" t="s">
        <v>403</v>
      </c>
      <c r="B15" s="5">
        <v>0.00761904761904762</v>
      </c>
      <c r="C15" s="5">
        <v>0</v>
      </c>
    </row>
    <row r="16" spans="1:3">
      <c r="A16" s="3" t="s">
        <v>404</v>
      </c>
      <c r="B16" s="5">
        <v>0.0088421052631579</v>
      </c>
      <c r="C16" s="5">
        <v>0.000210526315789474</v>
      </c>
    </row>
    <row r="17" spans="1:3">
      <c r="A17" s="3" t="s">
        <v>405</v>
      </c>
      <c r="B17" s="5">
        <v>0.0137837837837838</v>
      </c>
      <c r="C17" s="5">
        <v>0.00135135135135135</v>
      </c>
    </row>
    <row r="18" spans="1:3">
      <c r="A18" s="3" t="s">
        <v>406</v>
      </c>
      <c r="B18" s="5">
        <v>0.0154716981132075</v>
      </c>
      <c r="C18" s="5">
        <v>0.00528301886792453</v>
      </c>
    </row>
    <row r="19" spans="1:3">
      <c r="A19" s="3" t="s">
        <v>407</v>
      </c>
      <c r="B19" s="5">
        <v>0.00545454545454545</v>
      </c>
      <c r="C19" s="5">
        <v>0.0101298701298701</v>
      </c>
    </row>
    <row r="20" spans="1:3">
      <c r="A20" s="3" t="s">
        <v>408</v>
      </c>
      <c r="B20" s="5">
        <v>0.0127027027027027</v>
      </c>
      <c r="C20" s="5">
        <v>0.00513513513513514</v>
      </c>
    </row>
    <row r="21" spans="1:3">
      <c r="A21" s="3" t="s">
        <v>409</v>
      </c>
      <c r="B21" s="5">
        <v>0.0235294117647059</v>
      </c>
      <c r="C21" s="5">
        <v>0.00117647058823529</v>
      </c>
    </row>
    <row r="22" spans="1:3">
      <c r="A22" s="3" t="s">
        <v>410</v>
      </c>
      <c r="B22" s="5">
        <v>0.0110204081632653</v>
      </c>
      <c r="C22" s="5">
        <v>0.00183673469387755</v>
      </c>
    </row>
    <row r="23" spans="1:3">
      <c r="A23" s="3" t="s">
        <v>411</v>
      </c>
      <c r="B23" s="5">
        <v>0.00695652173913043</v>
      </c>
      <c r="C23" s="5">
        <v>0</v>
      </c>
    </row>
    <row r="24" spans="1:3">
      <c r="A24" s="3" t="s">
        <v>412</v>
      </c>
      <c r="B24" s="5">
        <v>0.00037122969837587</v>
      </c>
      <c r="C24" s="5">
        <v>9.28074245939675e-5</v>
      </c>
    </row>
    <row r="25" spans="1:3">
      <c r="A25" s="3" t="s">
        <v>413</v>
      </c>
      <c r="B25" s="5">
        <v>0.00745098039215686</v>
      </c>
      <c r="C25" s="5">
        <v>0.00431372549019608</v>
      </c>
    </row>
    <row r="26" spans="1:3">
      <c r="A26" s="3" t="s">
        <v>414</v>
      </c>
      <c r="B26" s="5">
        <v>0.0065</v>
      </c>
      <c r="C26" s="5">
        <v>0.002</v>
      </c>
    </row>
    <row r="27" spans="1:3">
      <c r="A27" s="3" t="s">
        <v>415</v>
      </c>
      <c r="B27" s="5">
        <v>0.0143283582089552</v>
      </c>
      <c r="C27" s="5">
        <v>0.00388059701492537</v>
      </c>
    </row>
    <row r="28" spans="1:3">
      <c r="A28" s="3" t="s">
        <v>416</v>
      </c>
      <c r="B28" s="5">
        <v>0.01688</v>
      </c>
      <c r="C28" s="5">
        <v>0</v>
      </c>
    </row>
    <row r="29" spans="1:3">
      <c r="A29" s="3" t="s">
        <v>417</v>
      </c>
      <c r="B29" s="5">
        <v>0.01157</v>
      </c>
      <c r="C29" s="5">
        <v>0</v>
      </c>
    </row>
    <row r="30" spans="1:3">
      <c r="A30" s="3" t="s">
        <v>418</v>
      </c>
      <c r="B30" s="5">
        <v>0.00909090909090909</v>
      </c>
      <c r="C30" s="5">
        <v>0</v>
      </c>
    </row>
    <row r="31" spans="1:3">
      <c r="A31" s="3" t="s">
        <v>419</v>
      </c>
      <c r="B31" s="5">
        <v>0.000495745963689958</v>
      </c>
      <c r="C31" s="5">
        <v>0.000468948884571582</v>
      </c>
    </row>
    <row r="32" spans="1:3">
      <c r="A32" s="3" t="s">
        <v>420</v>
      </c>
      <c r="B32" s="5">
        <v>0.000819145518792162</v>
      </c>
      <c r="C32" s="5">
        <v>0.00141342756183746</v>
      </c>
    </row>
    <row r="33" spans="1:3">
      <c r="A33" s="3" t="s">
        <v>421</v>
      </c>
      <c r="B33" s="5">
        <v>0.018732782369146</v>
      </c>
      <c r="C33" s="5">
        <v>0.00275482093663912</v>
      </c>
    </row>
    <row r="34" spans="1:3">
      <c r="A34" s="3" t="s">
        <v>422</v>
      </c>
      <c r="B34" s="5">
        <v>0.00980861244019139</v>
      </c>
      <c r="C34" s="5">
        <v>0.00287081339712919</v>
      </c>
    </row>
    <row r="35" spans="1:3">
      <c r="A35" s="3" t="s">
        <v>423</v>
      </c>
      <c r="B35" s="5">
        <v>0.00696969696969697</v>
      </c>
      <c r="C35" s="5">
        <v>0.000303030303030303</v>
      </c>
    </row>
    <row r="36" spans="1:3">
      <c r="A36" s="3" t="s">
        <v>424</v>
      </c>
      <c r="B36" s="5">
        <v>0.0101818181818182</v>
      </c>
      <c r="C36" s="5">
        <v>0.00581818181818182</v>
      </c>
    </row>
    <row r="37" spans="1:3">
      <c r="A37" s="3" t="s">
        <v>425</v>
      </c>
      <c r="B37" s="5">
        <v>0.0198802395209581</v>
      </c>
      <c r="C37" s="5">
        <v>0.00508982035928144</v>
      </c>
    </row>
    <row r="38" spans="1:3">
      <c r="A38" s="3" t="s">
        <v>426</v>
      </c>
      <c r="B38" s="5">
        <v>0.0184974093264249</v>
      </c>
      <c r="C38" s="5">
        <v>0.00336787564766839</v>
      </c>
    </row>
    <row r="39" spans="1:3">
      <c r="A39" s="3" t="s">
        <v>427</v>
      </c>
      <c r="B39" s="5">
        <v>0.0211374407582938</v>
      </c>
      <c r="C39" s="5">
        <v>0.00255924170616114</v>
      </c>
    </row>
    <row r="40" spans="1:3">
      <c r="A40" s="3" t="s">
        <v>428</v>
      </c>
      <c r="B40" s="5">
        <v>0.0179014308426073</v>
      </c>
      <c r="C40" s="5">
        <v>0.0063275039745628</v>
      </c>
    </row>
    <row r="41" spans="1:3">
      <c r="A41" s="3" t="s">
        <v>429</v>
      </c>
      <c r="B41" s="5">
        <v>0.0186570743405276</v>
      </c>
      <c r="C41" s="5">
        <v>0.000719424460431655</v>
      </c>
    </row>
    <row r="42" spans="1:3">
      <c r="A42" s="3" t="s">
        <v>430</v>
      </c>
      <c r="B42" s="5">
        <v>0.0188990825688073</v>
      </c>
      <c r="C42" s="5">
        <v>0.00752293577981651</v>
      </c>
    </row>
    <row r="43" spans="1:3">
      <c r="A43" s="3" t="s">
        <v>431</v>
      </c>
      <c r="B43" s="5">
        <v>0.0296739130434783</v>
      </c>
      <c r="C43" s="5">
        <v>0.00695652173913043</v>
      </c>
    </row>
    <row r="44" spans="1:3">
      <c r="A44" s="3" t="s">
        <v>432</v>
      </c>
      <c r="B44" s="5">
        <v>0.0354893617021277</v>
      </c>
      <c r="C44" s="5">
        <v>0.00348936170212766</v>
      </c>
    </row>
    <row r="45" spans="1:3">
      <c r="A45" s="3" t="s">
        <v>433</v>
      </c>
      <c r="B45" s="5">
        <v>0.0245</v>
      </c>
      <c r="C45" s="5">
        <v>0.00525</v>
      </c>
    </row>
    <row r="46" spans="1:3">
      <c r="A46" s="3" t="s">
        <v>434</v>
      </c>
      <c r="B46" s="5">
        <v>0.016</v>
      </c>
      <c r="C46" s="5">
        <v>0.00666666666666667</v>
      </c>
    </row>
    <row r="47" spans="1:3">
      <c r="A47" s="3" t="s">
        <v>435</v>
      </c>
      <c r="B47" s="5">
        <v>0.0136170212765957</v>
      </c>
      <c r="C47" s="5">
        <v>0.00340425531914894</v>
      </c>
    </row>
    <row r="48" spans="1:3">
      <c r="A48" s="3" t="s">
        <v>436</v>
      </c>
      <c r="B48" s="5">
        <v>0.0311111111111111</v>
      </c>
      <c r="C48" s="5">
        <v>0.00111111111111111</v>
      </c>
    </row>
    <row r="49" spans="1:3">
      <c r="A49" s="3" t="s">
        <v>437</v>
      </c>
      <c r="B49" s="5">
        <v>0.0033096926713948</v>
      </c>
      <c r="C49" s="5">
        <v>0.00704491725768322</v>
      </c>
    </row>
    <row r="50" spans="1:3">
      <c r="A50" s="3" t="s">
        <v>438</v>
      </c>
      <c r="B50" s="5">
        <v>0.000921052631578947</v>
      </c>
      <c r="C50" s="5">
        <v>0.00184210526315789</v>
      </c>
    </row>
    <row r="51" spans="1:3">
      <c r="A51" s="3" t="s">
        <v>439</v>
      </c>
      <c r="B51" s="5">
        <v>0.0011787072243346</v>
      </c>
      <c r="C51" s="5">
        <v>0.00155893536121673</v>
      </c>
    </row>
    <row r="52" spans="1:3">
      <c r="A52" s="3" t="s">
        <v>440</v>
      </c>
      <c r="B52" s="5">
        <v>0.00142857142857143</v>
      </c>
      <c r="C52" s="5">
        <v>0.000779220779220779</v>
      </c>
    </row>
    <row r="53" spans="1:3">
      <c r="A53" s="3" t="s">
        <v>441</v>
      </c>
      <c r="B53" s="5">
        <v>0.000823327615780446</v>
      </c>
      <c r="C53" s="5">
        <v>0.00133790737564322</v>
      </c>
    </row>
    <row r="54" spans="1:3">
      <c r="A54" s="3" t="s">
        <v>442</v>
      </c>
      <c r="B54" s="5">
        <v>0.00378787878787879</v>
      </c>
      <c r="C54" s="5">
        <v>0.00878787878787879</v>
      </c>
    </row>
    <row r="55" spans="1:3">
      <c r="A55" s="3" t="s">
        <v>443</v>
      </c>
      <c r="B55" s="5">
        <v>0.00456692913385827</v>
      </c>
      <c r="C55" s="5">
        <v>0.00173228346456693</v>
      </c>
    </row>
    <row r="56" spans="1:3">
      <c r="A56" s="3" t="s">
        <v>444</v>
      </c>
      <c r="B56" s="5">
        <v>0.00117073170731707</v>
      </c>
      <c r="C56" s="5">
        <v>0.0015609756097561</v>
      </c>
    </row>
    <row r="57" spans="1:3">
      <c r="A57" s="3" t="s">
        <v>445</v>
      </c>
      <c r="B57" s="5">
        <v>0.001875</v>
      </c>
      <c r="C57" s="5">
        <v>0.00197916666666667</v>
      </c>
    </row>
    <row r="58" spans="1:3">
      <c r="A58" s="3" t="s">
        <v>446</v>
      </c>
      <c r="B58" s="5">
        <v>0.00193211488250653</v>
      </c>
      <c r="C58" s="5">
        <v>0.00318537859007833</v>
      </c>
    </row>
    <row r="59" spans="1:3">
      <c r="A59" s="3" t="s">
        <v>447</v>
      </c>
      <c r="B59" s="5">
        <v>0.00191780821917808</v>
      </c>
      <c r="C59" s="5">
        <v>0.00164383561643836</v>
      </c>
    </row>
    <row r="60" spans="1:3">
      <c r="A60" s="3" t="s">
        <v>448</v>
      </c>
      <c r="B60" s="5">
        <v>0.00281879194630872</v>
      </c>
      <c r="C60" s="5">
        <v>0.00577181208053691</v>
      </c>
    </row>
    <row r="61" spans="1:3">
      <c r="A61" s="3" t="s">
        <v>449</v>
      </c>
      <c r="B61" s="5">
        <v>0.00140350877192982</v>
      </c>
      <c r="C61" s="5">
        <v>0.00385964912280702</v>
      </c>
    </row>
    <row r="62" spans="1:3">
      <c r="A62" s="3" t="s">
        <v>450</v>
      </c>
      <c r="B62" s="5">
        <v>0.00220472440944882</v>
      </c>
      <c r="C62" s="5">
        <v>0.00236220472440945</v>
      </c>
    </row>
    <row r="63" spans="1:3">
      <c r="A63" s="3" t="s">
        <v>451</v>
      </c>
      <c r="B63" s="5">
        <v>0.00141327623126338</v>
      </c>
      <c r="C63" s="5">
        <v>0.00137044967880086</v>
      </c>
    </row>
    <row r="64" spans="1:3">
      <c r="A64" s="3" t="s">
        <v>452</v>
      </c>
      <c r="B64" s="5">
        <v>0.0014207650273224</v>
      </c>
      <c r="C64" s="5">
        <v>0.00344262295081967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CJ27"/>
  <sheetViews>
    <sheetView topLeftCell="A19" workbookViewId="0">
      <selection activeCell="B15" sqref="B15"/>
    </sheetView>
  </sheetViews>
  <sheetFormatPr defaultColWidth="8.87692307692308" defaultRowHeight="15.5"/>
  <cols>
    <col min="1" max="1" width="32" style="1" customWidth="1"/>
    <col min="2" max="88" width="8.87692307692308" style="2"/>
  </cols>
  <sheetData>
    <row r="1" s="1" customFormat="1" spans="1:88">
      <c r="A1" s="3" t="s">
        <v>471</v>
      </c>
      <c r="B1" s="3" t="s">
        <v>390</v>
      </c>
      <c r="C1" s="3" t="s">
        <v>391</v>
      </c>
      <c r="D1" s="3" t="s">
        <v>392</v>
      </c>
      <c r="E1" s="3" t="s">
        <v>393</v>
      </c>
      <c r="F1" s="3" t="s">
        <v>394</v>
      </c>
      <c r="G1" s="3" t="s">
        <v>395</v>
      </c>
      <c r="H1" s="3" t="s">
        <v>396</v>
      </c>
      <c r="I1" s="3" t="s">
        <v>397</v>
      </c>
      <c r="J1" s="3" t="s">
        <v>398</v>
      </c>
      <c r="K1" s="3" t="s">
        <v>399</v>
      </c>
      <c r="L1" s="3" t="s">
        <v>400</v>
      </c>
      <c r="M1" s="3" t="s">
        <v>401</v>
      </c>
      <c r="N1" s="3" t="s">
        <v>402</v>
      </c>
      <c r="O1" s="3" t="s">
        <v>403</v>
      </c>
      <c r="P1" s="3" t="s">
        <v>404</v>
      </c>
      <c r="Q1" s="3" t="s">
        <v>405</v>
      </c>
      <c r="R1" s="3" t="s">
        <v>406</v>
      </c>
      <c r="S1" s="3" t="s">
        <v>407</v>
      </c>
      <c r="T1" s="3" t="s">
        <v>408</v>
      </c>
      <c r="U1" s="3" t="s">
        <v>409</v>
      </c>
      <c r="V1" s="3" t="s">
        <v>410</v>
      </c>
      <c r="W1" s="3" t="s">
        <v>411</v>
      </c>
      <c r="X1" s="3" t="s">
        <v>412</v>
      </c>
      <c r="Y1" s="3" t="s">
        <v>413</v>
      </c>
      <c r="Z1" s="3" t="s">
        <v>414</v>
      </c>
      <c r="AA1" s="3" t="s">
        <v>415</v>
      </c>
      <c r="AB1" s="3" t="s">
        <v>416</v>
      </c>
      <c r="AC1" s="3" t="s">
        <v>417</v>
      </c>
      <c r="AD1" s="3" t="s">
        <v>418</v>
      </c>
      <c r="AE1" s="3" t="s">
        <v>419</v>
      </c>
      <c r="AF1" s="3" t="s">
        <v>420</v>
      </c>
      <c r="AG1" s="3" t="s">
        <v>421</v>
      </c>
      <c r="AH1" s="3" t="s">
        <v>422</v>
      </c>
      <c r="AI1" s="3" t="s">
        <v>423</v>
      </c>
      <c r="AJ1" s="3" t="s">
        <v>424</v>
      </c>
      <c r="AK1" s="3" t="s">
        <v>425</v>
      </c>
      <c r="AL1" s="3" t="s">
        <v>426</v>
      </c>
      <c r="AM1" s="3" t="s">
        <v>427</v>
      </c>
      <c r="AN1" s="3" t="s">
        <v>428</v>
      </c>
      <c r="AO1" s="3" t="s">
        <v>429</v>
      </c>
      <c r="AP1" s="3" t="s">
        <v>430</v>
      </c>
      <c r="AQ1" s="3" t="s">
        <v>431</v>
      </c>
      <c r="AR1" s="3" t="s">
        <v>432</v>
      </c>
      <c r="AS1" s="3" t="s">
        <v>433</v>
      </c>
      <c r="AT1" s="3" t="s">
        <v>434</v>
      </c>
      <c r="AU1" s="3" t="s">
        <v>435</v>
      </c>
      <c r="AV1" s="3" t="s">
        <v>436</v>
      </c>
      <c r="AW1" s="3" t="s">
        <v>437</v>
      </c>
      <c r="AX1" s="3" t="s">
        <v>438</v>
      </c>
      <c r="AY1" s="3" t="s">
        <v>439</v>
      </c>
      <c r="AZ1" s="3" t="s">
        <v>440</v>
      </c>
      <c r="BA1" s="3" t="s">
        <v>441</v>
      </c>
      <c r="BB1" s="3" t="s">
        <v>442</v>
      </c>
      <c r="BC1" s="3" t="s">
        <v>443</v>
      </c>
      <c r="BD1" s="3" t="s">
        <v>444</v>
      </c>
      <c r="BE1" s="3" t="s">
        <v>445</v>
      </c>
      <c r="BF1" s="3" t="s">
        <v>446</v>
      </c>
      <c r="BG1" s="3" t="s">
        <v>447</v>
      </c>
      <c r="BH1" s="3" t="s">
        <v>448</v>
      </c>
      <c r="BI1" s="3" t="s">
        <v>449</v>
      </c>
      <c r="BJ1" s="3" t="s">
        <v>450</v>
      </c>
      <c r="BK1" s="3" t="s">
        <v>451</v>
      </c>
      <c r="BL1" s="3" t="s">
        <v>452</v>
      </c>
      <c r="BM1" s="3" t="s">
        <v>27</v>
      </c>
      <c r="BN1" s="3" t="s">
        <v>28</v>
      </c>
      <c r="BO1" s="3" t="s">
        <v>29</v>
      </c>
      <c r="BP1" s="3" t="s">
        <v>30</v>
      </c>
      <c r="BQ1" s="3" t="s">
        <v>31</v>
      </c>
      <c r="BR1" s="3" t="s">
        <v>32</v>
      </c>
      <c r="BS1" s="3" t="s">
        <v>33</v>
      </c>
      <c r="BT1" s="3" t="s">
        <v>34</v>
      </c>
      <c r="BU1" s="3" t="s">
        <v>35</v>
      </c>
      <c r="BV1" s="3" t="s">
        <v>453</v>
      </c>
      <c r="BW1" s="3" t="s">
        <v>454</v>
      </c>
      <c r="BX1" s="3" t="s">
        <v>455</v>
      </c>
      <c r="BY1" s="3" t="s">
        <v>456</v>
      </c>
      <c r="BZ1" s="3" t="s">
        <v>457</v>
      </c>
      <c r="CA1" s="3" t="s">
        <v>458</v>
      </c>
      <c r="CB1" s="3" t="s">
        <v>459</v>
      </c>
      <c r="CC1" s="3" t="s">
        <v>460</v>
      </c>
      <c r="CD1" s="3" t="s">
        <v>461</v>
      </c>
      <c r="CE1" s="3" t="s">
        <v>462</v>
      </c>
      <c r="CF1" s="3" t="s">
        <v>463</v>
      </c>
      <c r="CG1" s="3" t="s">
        <v>464</v>
      </c>
      <c r="CH1" s="3" t="s">
        <v>465</v>
      </c>
      <c r="CI1" s="3" t="s">
        <v>466</v>
      </c>
      <c r="CJ1" s="3" t="s">
        <v>467</v>
      </c>
    </row>
    <row r="2" spans="1:88">
      <c r="A2" s="3" t="s">
        <v>472</v>
      </c>
      <c r="B2" s="4">
        <v>0.539393939393939</v>
      </c>
      <c r="C2" s="4">
        <v>0.392086330935252</v>
      </c>
      <c r="D2" s="4">
        <v>0.517587939698492</v>
      </c>
      <c r="E2" s="4">
        <v>0.555555555555556</v>
      </c>
      <c r="F2" s="4">
        <v>0.39943342776204</v>
      </c>
      <c r="G2" s="4">
        <v>0.577114427860697</v>
      </c>
      <c r="H2" s="4">
        <v>0.646739130434783</v>
      </c>
      <c r="I2" s="4">
        <v>0.468531468531469</v>
      </c>
      <c r="J2" s="4">
        <v>0.316964285714286</v>
      </c>
      <c r="K2" s="4">
        <v>0.337837837837838</v>
      </c>
      <c r="L2" s="4">
        <v>0.301470588235294</v>
      </c>
      <c r="M2" s="4">
        <v>0.410714285714286</v>
      </c>
      <c r="N2" s="4">
        <v>0.494623655913978</v>
      </c>
      <c r="O2" s="4">
        <v>0.238095238095238</v>
      </c>
      <c r="P2" s="4">
        <v>0.368421052631579</v>
      </c>
      <c r="Q2" s="4">
        <v>0.27027027027027</v>
      </c>
      <c r="R2" s="4">
        <v>0.358490566037736</v>
      </c>
      <c r="S2" s="4">
        <v>0.844155844155844</v>
      </c>
      <c r="T2" s="4">
        <v>0.459459459459459</v>
      </c>
      <c r="U2" s="4">
        <v>0.225490196078431</v>
      </c>
      <c r="V2" s="4">
        <v>0.857142857142857</v>
      </c>
      <c r="W2" s="4">
        <v>0.173913043478261</v>
      </c>
      <c r="X2" s="4">
        <v>0.0881670533642691</v>
      </c>
      <c r="Y2" s="4">
        <v>0.411764705882353</v>
      </c>
      <c r="Z2" s="4">
        <v>0.45</v>
      </c>
      <c r="AA2" s="4">
        <v>0.447761194029851</v>
      </c>
      <c r="AB2" s="4">
        <v>0.142857142857143</v>
      </c>
      <c r="AC2" s="4">
        <v>0.272727272727273</v>
      </c>
      <c r="AD2" s="4">
        <v>0.0833333333333333</v>
      </c>
      <c r="AE2" s="4">
        <v>0.0243183492999263</v>
      </c>
      <c r="AF2" s="4">
        <v>0.0812720848056537</v>
      </c>
      <c r="AG2" s="4">
        <v>1</v>
      </c>
      <c r="AH2" s="4">
        <v>0.907894736842105</v>
      </c>
      <c r="AI2" s="4">
        <v>0.533333333333333</v>
      </c>
      <c r="AJ2" s="4">
        <v>0.28</v>
      </c>
      <c r="AK2" s="4">
        <v>0.329341317365269</v>
      </c>
      <c r="AL2" s="4">
        <v>0.360103626943005</v>
      </c>
      <c r="AM2" s="4">
        <v>0.421800947867299</v>
      </c>
      <c r="AN2" s="4">
        <v>0.243243243243243</v>
      </c>
      <c r="AO2" s="4">
        <v>0.0119904076738609</v>
      </c>
      <c r="AP2" s="4">
        <v>0.238532110091743</v>
      </c>
      <c r="AQ2" s="4">
        <v>0.494565217391304</v>
      </c>
      <c r="AR2" s="4">
        <v>0.114893617021277</v>
      </c>
      <c r="AS2" s="4">
        <v>0.1625</v>
      </c>
      <c r="AT2" s="4">
        <v>0.2</v>
      </c>
      <c r="AU2" s="4">
        <v>0.404255319148936</v>
      </c>
      <c r="AV2" s="4">
        <v>0.0555555555555556</v>
      </c>
      <c r="AW2" s="4">
        <v>0.366430260047281</v>
      </c>
      <c r="AX2" s="4">
        <v>0.217105263157895</v>
      </c>
      <c r="AY2" s="4">
        <v>0.298479087452471</v>
      </c>
      <c r="AZ2" s="4">
        <v>0.233766233766234</v>
      </c>
      <c r="BA2" s="4">
        <v>0.234991423670669</v>
      </c>
      <c r="BB2" s="4">
        <v>0.378787878787879</v>
      </c>
      <c r="BC2" s="4">
        <v>0.259842519685039</v>
      </c>
      <c r="BD2" s="4">
        <v>0.278048780487805</v>
      </c>
      <c r="BE2" s="4">
        <v>0.229166666666667</v>
      </c>
      <c r="BF2" s="4">
        <v>0.232375979112272</v>
      </c>
      <c r="BG2" s="4">
        <v>0.363013698630137</v>
      </c>
      <c r="BH2" s="4">
        <v>0.516778523489933</v>
      </c>
      <c r="BI2" s="4">
        <v>0.385964912280702</v>
      </c>
      <c r="BJ2" s="4">
        <v>0.338582677165354</v>
      </c>
      <c r="BK2" s="4">
        <v>0.267665952890792</v>
      </c>
      <c r="BL2" s="4">
        <v>0.404371584699454</v>
      </c>
      <c r="BM2" s="4">
        <v>0.0281954887218045</v>
      </c>
      <c r="BN2" s="4">
        <v>0.00696864111498258</v>
      </c>
      <c r="BO2" s="4">
        <v>0.0446927374301676</v>
      </c>
      <c r="BP2" s="4">
        <v>0.075187969924812</v>
      </c>
      <c r="BQ2" s="4">
        <v>0.0301204819277108</v>
      </c>
      <c r="BR2" s="4">
        <v>0.0222222222222222</v>
      </c>
      <c r="BS2" s="4">
        <v>0.0842911877394636</v>
      </c>
      <c r="BT2" s="4">
        <v>0.00409276944065484</v>
      </c>
      <c r="BU2" s="4">
        <v>0.0148698884758364</v>
      </c>
      <c r="BV2" s="4">
        <v>0.00746268656716418</v>
      </c>
      <c r="BW2" s="4">
        <v>0.0233463035019455</v>
      </c>
      <c r="BX2" s="4">
        <v>0.0275800711743772</v>
      </c>
      <c r="BY2" s="4">
        <v>0.0206185567010309</v>
      </c>
      <c r="BZ2" s="4">
        <v>0.0418848167539267</v>
      </c>
      <c r="CA2" s="4">
        <v>0.0516304347826087</v>
      </c>
      <c r="CB2" s="4">
        <v>0.0618729096989967</v>
      </c>
      <c r="CC2" s="4">
        <v>0.0208333333333333</v>
      </c>
      <c r="CD2" s="4">
        <v>0.0204918032786885</v>
      </c>
      <c r="CE2" s="4">
        <v>0.0135135135135135</v>
      </c>
      <c r="CF2" s="4">
        <v>0.0226244343891403</v>
      </c>
      <c r="CG2" s="4">
        <v>0.0198019801980198</v>
      </c>
      <c r="CH2" s="4">
        <v>0.0396039603960396</v>
      </c>
      <c r="CI2" s="4">
        <v>0.0146341463414634</v>
      </c>
      <c r="CJ2" s="4">
        <v>0.0196078431372549</v>
      </c>
    </row>
    <row r="3" spans="1:88">
      <c r="A3" s="3" t="s">
        <v>473</v>
      </c>
      <c r="B3" s="4">
        <v>0.0666666666666667</v>
      </c>
      <c r="C3" s="4">
        <v>0.0755395683453237</v>
      </c>
      <c r="D3" s="4">
        <v>0.0603015075376884</v>
      </c>
      <c r="E3" s="4">
        <v>0.0645161290322581</v>
      </c>
      <c r="F3" s="4">
        <v>0.124645892351275</v>
      </c>
      <c r="G3" s="4">
        <v>0.0845771144278607</v>
      </c>
      <c r="H3" s="4">
        <v>0.0706521739130435</v>
      </c>
      <c r="I3" s="4">
        <v>0.0559440559440559</v>
      </c>
      <c r="J3" s="4">
        <v>0.0758928571428571</v>
      </c>
      <c r="K3" s="4">
        <v>0.0945945945945946</v>
      </c>
      <c r="L3" s="4">
        <v>0.0882352941176471</v>
      </c>
      <c r="M3" s="4">
        <v>0.107142857142857</v>
      </c>
      <c r="N3" s="4">
        <v>0.0591397849462366</v>
      </c>
      <c r="O3" s="4">
        <v>0.0476190476190476</v>
      </c>
      <c r="P3" s="4">
        <v>0.2</v>
      </c>
      <c r="Q3" s="4">
        <v>0.0540540540540541</v>
      </c>
      <c r="R3" s="4">
        <v>0.113207547169811</v>
      </c>
      <c r="S3" s="4">
        <v>0.142857142857143</v>
      </c>
      <c r="T3" s="4">
        <v>0.135135135135135</v>
      </c>
      <c r="U3" s="4">
        <v>0.0196078431372549</v>
      </c>
      <c r="V3" s="4">
        <v>0.0306122448979592</v>
      </c>
      <c r="W3" s="4">
        <v>0.152173913043478</v>
      </c>
      <c r="X3" s="4">
        <v>0.00928074245939675</v>
      </c>
      <c r="Y3" s="4">
        <v>0.0196078431372549</v>
      </c>
      <c r="Z3" s="4">
        <v>0.075</v>
      </c>
      <c r="AA3" s="4">
        <v>0.149253731343284</v>
      </c>
      <c r="AB3" s="4">
        <v>0</v>
      </c>
      <c r="AC3" s="4">
        <v>0</v>
      </c>
      <c r="AD3" s="4">
        <v>0</v>
      </c>
      <c r="AE3" s="4">
        <v>0.028002947678703</v>
      </c>
      <c r="AF3" s="4">
        <v>0.0397526501766784</v>
      </c>
      <c r="AG3" s="4">
        <v>0.121212121212121</v>
      </c>
      <c r="AH3" s="4">
        <v>0.0921052631578947</v>
      </c>
      <c r="AI3" s="4">
        <v>0.0166666666666667</v>
      </c>
      <c r="AJ3" s="4">
        <v>0.04</v>
      </c>
      <c r="AK3" s="4">
        <v>0.119760479041916</v>
      </c>
      <c r="AL3" s="4">
        <v>0.0880829015544041</v>
      </c>
      <c r="AM3" s="4">
        <v>0.0568720379146919</v>
      </c>
      <c r="AN3" s="4">
        <v>0.0890302066772655</v>
      </c>
      <c r="AO3" s="4">
        <v>0.052757793764988</v>
      </c>
      <c r="AP3" s="4">
        <v>0.018348623853211</v>
      </c>
      <c r="AQ3" s="4">
        <v>0.0217391304347826</v>
      </c>
      <c r="AR3" s="4">
        <v>0.0297872340425532</v>
      </c>
      <c r="AS3" s="4">
        <v>0.05</v>
      </c>
      <c r="AT3" s="4">
        <v>0.0222222222222222</v>
      </c>
      <c r="AU3" s="4">
        <v>0.0212765957446809</v>
      </c>
      <c r="AV3" s="4">
        <v>0</v>
      </c>
      <c r="AW3" s="4">
        <v>0.0307328605200946</v>
      </c>
      <c r="AX3" s="4">
        <v>0.0394736842105263</v>
      </c>
      <c r="AY3" s="4">
        <v>0.0361216730038023</v>
      </c>
      <c r="AZ3" s="4">
        <v>0.038961038961039</v>
      </c>
      <c r="BA3" s="4">
        <v>0.072041166380789</v>
      </c>
      <c r="BB3" s="4">
        <v>0.0454545454545455</v>
      </c>
      <c r="BC3" s="4">
        <v>0.062992125984252</v>
      </c>
      <c r="BD3" s="4">
        <v>0.0829268292682927</v>
      </c>
      <c r="BE3" s="4">
        <v>0.109375</v>
      </c>
      <c r="BF3" s="4">
        <v>0.109660574412533</v>
      </c>
      <c r="BG3" s="4">
        <v>0.0616438356164384</v>
      </c>
      <c r="BH3" s="4">
        <v>0.0738255033557047</v>
      </c>
      <c r="BI3" s="4">
        <v>0.12280701754386</v>
      </c>
      <c r="BJ3" s="4">
        <v>0.0708661417322835</v>
      </c>
      <c r="BK3" s="4">
        <v>0.156316916488223</v>
      </c>
      <c r="BL3" s="4">
        <v>0.101092896174863</v>
      </c>
      <c r="BM3" s="4">
        <v>0.107142857142857</v>
      </c>
      <c r="BN3" s="4">
        <v>0.0940766550522648</v>
      </c>
      <c r="BO3" s="4">
        <v>0.100558659217877</v>
      </c>
      <c r="BP3" s="4">
        <v>0.0150375939849624</v>
      </c>
      <c r="BQ3" s="4">
        <v>0.102409638554217</v>
      </c>
      <c r="BR3" s="4">
        <v>0.08</v>
      </c>
      <c r="BS3" s="4">
        <v>0.0344827586206897</v>
      </c>
      <c r="BT3" s="4">
        <v>0.0600272851296044</v>
      </c>
      <c r="BU3" s="4">
        <v>0.0631970260223048</v>
      </c>
      <c r="BV3" s="4">
        <v>0.138059701492537</v>
      </c>
      <c r="BW3" s="4">
        <v>0.124513618677043</v>
      </c>
      <c r="BX3" s="4">
        <v>0.0862989323843416</v>
      </c>
      <c r="BY3" s="4">
        <v>0.105670103092784</v>
      </c>
      <c r="BZ3" s="4">
        <v>0.115183246073298</v>
      </c>
      <c r="CA3" s="4">
        <v>0.114130434782609</v>
      </c>
      <c r="CB3" s="4">
        <v>0.102006688963211</v>
      </c>
      <c r="CC3" s="4">
        <v>0.122685185185185</v>
      </c>
      <c r="CD3" s="4">
        <v>0.147540983606557</v>
      </c>
      <c r="CE3" s="4">
        <v>0.108108108108108</v>
      </c>
      <c r="CF3" s="4">
        <v>0.167420814479638</v>
      </c>
      <c r="CG3" s="4">
        <v>0.099009900990099</v>
      </c>
      <c r="CH3" s="4">
        <v>0.138613861386139</v>
      </c>
      <c r="CI3" s="4">
        <v>0.117073170731707</v>
      </c>
      <c r="CJ3" s="4">
        <v>0.071078431372549</v>
      </c>
    </row>
    <row r="4" spans="1:88">
      <c r="A4" s="3" t="s">
        <v>474</v>
      </c>
      <c r="B4" s="4">
        <v>0.23030303030303</v>
      </c>
      <c r="C4" s="4">
        <v>0.179856115107914</v>
      </c>
      <c r="D4" s="4">
        <v>0.21608040201005</v>
      </c>
      <c r="E4" s="4">
        <v>0.154121863799283</v>
      </c>
      <c r="F4" s="4">
        <v>0.164305949008499</v>
      </c>
      <c r="G4" s="4">
        <v>0.27363184079602</v>
      </c>
      <c r="H4" s="4">
        <v>0.228260869565217</v>
      </c>
      <c r="I4" s="4">
        <v>0.174825174825175</v>
      </c>
      <c r="J4" s="4">
        <v>0.0892857142857143</v>
      </c>
      <c r="K4" s="4">
        <v>0.175675675675676</v>
      </c>
      <c r="L4" s="4">
        <v>0.158088235294118</v>
      </c>
      <c r="M4" s="4">
        <v>0.107142857142857</v>
      </c>
      <c r="N4" s="4">
        <v>0.161290322580645</v>
      </c>
      <c r="O4" s="4">
        <v>0.19047619047619</v>
      </c>
      <c r="P4" s="4">
        <v>0.431578947368421</v>
      </c>
      <c r="Q4" s="4">
        <v>0.540540540540541</v>
      </c>
      <c r="R4" s="4">
        <v>0.113207547169811</v>
      </c>
      <c r="S4" s="4">
        <v>0.350649350649351</v>
      </c>
      <c r="T4" s="4">
        <v>0.243243243243243</v>
      </c>
      <c r="U4" s="4">
        <v>0.647058823529412</v>
      </c>
      <c r="V4" s="4">
        <v>0.336734693877551</v>
      </c>
      <c r="W4" s="4">
        <v>0.304347826086957</v>
      </c>
      <c r="X4" s="4">
        <v>0.0278422273781903</v>
      </c>
      <c r="Y4" s="4">
        <v>0.333333333333333</v>
      </c>
      <c r="Z4" s="4">
        <v>0.225</v>
      </c>
      <c r="AA4" s="4">
        <v>0.17910447761194</v>
      </c>
      <c r="AB4" s="4">
        <v>0.214285714285714</v>
      </c>
      <c r="AC4" s="4">
        <v>0.272727272727273</v>
      </c>
      <c r="AD4" s="4">
        <v>0.0833333333333333</v>
      </c>
      <c r="AE4" s="4">
        <v>0.0117907148120855</v>
      </c>
      <c r="AF4" s="4">
        <v>0.0644876325088339</v>
      </c>
      <c r="AG4" s="4">
        <v>0.303030303030303</v>
      </c>
      <c r="AH4" s="4">
        <v>0.197368421052632</v>
      </c>
      <c r="AI4" s="4">
        <v>0.25</v>
      </c>
      <c r="AJ4" s="4">
        <v>0.16</v>
      </c>
      <c r="AK4" s="4">
        <v>0.5</v>
      </c>
      <c r="AL4" s="4">
        <v>0.489637305699482</v>
      </c>
      <c r="AM4" s="4">
        <v>0.57345971563981</v>
      </c>
      <c r="AN4" s="4">
        <v>0.186009538950715</v>
      </c>
      <c r="AO4" s="4">
        <v>0.167865707434053</v>
      </c>
      <c r="AP4" s="4">
        <v>0.422018348623853</v>
      </c>
      <c r="AQ4" s="4">
        <v>0.543478260869565</v>
      </c>
      <c r="AR4" s="4">
        <v>0.331914893617021</v>
      </c>
      <c r="AS4" s="4">
        <v>0.1375</v>
      </c>
      <c r="AT4" s="4">
        <v>0.266666666666667</v>
      </c>
      <c r="AU4" s="4">
        <v>0.148936170212766</v>
      </c>
      <c r="AV4" s="4">
        <v>0.166666666666667</v>
      </c>
      <c r="AW4" s="4">
        <v>0.238770685579196</v>
      </c>
      <c r="AX4" s="4">
        <v>0.361842105263158</v>
      </c>
      <c r="AY4" s="4">
        <v>0.300380228136882</v>
      </c>
      <c r="AZ4" s="4">
        <v>0.344155844155844</v>
      </c>
      <c r="BA4" s="4">
        <v>0.34819897084048</v>
      </c>
      <c r="BB4" s="4">
        <v>0.446969696969697</v>
      </c>
      <c r="BC4" s="4">
        <v>0.598425196850394</v>
      </c>
      <c r="BD4" s="4">
        <v>0.541463414634146</v>
      </c>
      <c r="BE4" s="4">
        <v>0.447916666666667</v>
      </c>
      <c r="BF4" s="4">
        <v>0.462140992167102</v>
      </c>
      <c r="BG4" s="4">
        <v>0.356164383561644</v>
      </c>
      <c r="BH4" s="4">
        <v>0.322147651006711</v>
      </c>
      <c r="BI4" s="4">
        <v>0.289473684210526</v>
      </c>
      <c r="BJ4" s="4">
        <v>0.543307086614173</v>
      </c>
      <c r="BK4" s="4">
        <v>0.381156316916488</v>
      </c>
      <c r="BL4" s="4">
        <v>0.418032786885246</v>
      </c>
      <c r="BM4" s="4">
        <v>0.0225563909774436</v>
      </c>
      <c r="BN4" s="4">
        <v>0.0209059233449477</v>
      </c>
      <c r="BO4" s="4">
        <v>0.0391061452513966</v>
      </c>
      <c r="BP4" s="4">
        <v>0.0902255639097744</v>
      </c>
      <c r="BQ4" s="4">
        <v>0.0120481927710843</v>
      </c>
      <c r="BR4" s="4">
        <v>0.0133333333333333</v>
      </c>
      <c r="BS4" s="4">
        <v>0.0498084291187739</v>
      </c>
      <c r="BT4" s="4">
        <v>0.00272851296043656</v>
      </c>
      <c r="BU4" s="4">
        <v>0.00743494423791822</v>
      </c>
      <c r="BV4" s="4">
        <v>0.0186567164179104</v>
      </c>
      <c r="BW4" s="4">
        <v>0.0428015564202335</v>
      </c>
      <c r="BX4" s="4">
        <v>0.0284697508896797</v>
      </c>
      <c r="BY4" s="4">
        <v>0.0180412371134021</v>
      </c>
      <c r="BZ4" s="4">
        <v>0.0785340314136126</v>
      </c>
      <c r="CA4" s="4">
        <v>0.0842391304347826</v>
      </c>
      <c r="CB4" s="4">
        <v>0.0919732441471572</v>
      </c>
      <c r="CC4" s="4">
        <v>0.025462962962963</v>
      </c>
      <c r="CD4" s="4">
        <v>0.0327868852459016</v>
      </c>
      <c r="CE4" s="4">
        <v>0.0045045045045045</v>
      </c>
      <c r="CF4" s="4">
        <v>0.00452488687782805</v>
      </c>
      <c r="CG4" s="4">
        <v>0.0445544554455446</v>
      </c>
      <c r="CH4" s="4">
        <v>0.0693069306930693</v>
      </c>
      <c r="CI4" s="4">
        <v>0.0146341463414634</v>
      </c>
      <c r="CJ4" s="4">
        <v>0.0220588235294118</v>
      </c>
    </row>
    <row r="5" spans="1:88">
      <c r="A5" s="3" t="s">
        <v>475</v>
      </c>
      <c r="B5" s="4">
        <v>0.0242424242424242</v>
      </c>
      <c r="C5" s="4">
        <v>0.0251798561151079</v>
      </c>
      <c r="D5" s="4">
        <v>0.0301507537688442</v>
      </c>
      <c r="E5" s="4">
        <v>0.046594982078853</v>
      </c>
      <c r="F5" s="4">
        <v>0.0084985835694051</v>
      </c>
      <c r="G5" s="4">
        <v>0.0199004975124378</v>
      </c>
      <c r="H5" s="4">
        <v>0.0271739130434783</v>
      </c>
      <c r="I5" s="4">
        <v>0.020979020979021</v>
      </c>
      <c r="J5" s="4">
        <v>0</v>
      </c>
      <c r="K5" s="4">
        <v>0.0135135135135135</v>
      </c>
      <c r="L5" s="4">
        <v>0.00735294117647059</v>
      </c>
      <c r="M5" s="4">
        <v>0.0133928571428571</v>
      </c>
      <c r="N5" s="4">
        <v>0.0483870967741935</v>
      </c>
      <c r="O5" s="4">
        <v>0</v>
      </c>
      <c r="P5" s="4">
        <v>0.0105263157894737</v>
      </c>
      <c r="Q5" s="4">
        <v>0.0945945945945946</v>
      </c>
      <c r="R5" s="4">
        <v>0.0188679245283019</v>
      </c>
      <c r="S5" s="4">
        <v>0</v>
      </c>
      <c r="T5" s="4">
        <v>0.0135135135135135</v>
      </c>
      <c r="U5" s="4">
        <v>0.00980392156862745</v>
      </c>
      <c r="V5" s="4">
        <v>0.0204081632653061</v>
      </c>
      <c r="W5" s="4">
        <v>0.0434782608695652</v>
      </c>
      <c r="X5" s="4">
        <v>0</v>
      </c>
      <c r="Y5" s="4">
        <v>0.137254901960784</v>
      </c>
      <c r="Z5" s="4">
        <v>0</v>
      </c>
      <c r="AA5" s="4">
        <v>0</v>
      </c>
      <c r="AB5" s="4">
        <v>0</v>
      </c>
      <c r="AC5" s="4">
        <v>0.0909090909090909</v>
      </c>
      <c r="AD5" s="4">
        <v>0</v>
      </c>
      <c r="AE5" s="4">
        <v>0.00663227708179808</v>
      </c>
      <c r="AF5" s="4">
        <v>0.0159010600706714</v>
      </c>
      <c r="AG5" s="4">
        <v>0.393939393939394</v>
      </c>
      <c r="AH5" s="4">
        <v>0.171052631578947</v>
      </c>
      <c r="AI5" s="4">
        <v>0</v>
      </c>
      <c r="AJ5" s="4">
        <v>0.08</v>
      </c>
      <c r="AK5" s="4">
        <v>0.0179640718562874</v>
      </c>
      <c r="AL5" s="4">
        <v>0.0077720207253886</v>
      </c>
      <c r="AM5" s="4">
        <v>0</v>
      </c>
      <c r="AN5" s="4">
        <v>0.0190779014308426</v>
      </c>
      <c r="AO5" s="4">
        <v>0</v>
      </c>
      <c r="AP5" s="4">
        <v>0.0917431192660551</v>
      </c>
      <c r="AQ5" s="4">
        <v>0.00543478260869565</v>
      </c>
      <c r="AR5" s="4">
        <v>0</v>
      </c>
      <c r="AS5" s="4">
        <v>0.0125</v>
      </c>
      <c r="AT5" s="4">
        <v>0.0444444444444444</v>
      </c>
      <c r="AU5" s="4">
        <v>0.0425531914893617</v>
      </c>
      <c r="AV5" s="4">
        <v>0</v>
      </c>
      <c r="AW5" s="4">
        <v>0.0614657210401891</v>
      </c>
      <c r="AX5" s="4">
        <v>0.131578947368421</v>
      </c>
      <c r="AY5" s="4">
        <v>0.108365019011407</v>
      </c>
      <c r="AZ5" s="4">
        <v>0.116883116883117</v>
      </c>
      <c r="BA5" s="4">
        <v>0.118353344768439</v>
      </c>
      <c r="BB5" s="4">
        <v>0.166666666666667</v>
      </c>
      <c r="BC5" s="4">
        <v>0.21259842519685</v>
      </c>
      <c r="BD5" s="4">
        <v>0.185365853658537</v>
      </c>
      <c r="BE5" s="4">
        <v>0.130208333333333</v>
      </c>
      <c r="BF5" s="4">
        <v>0.0809399477806789</v>
      </c>
      <c r="BG5" s="4">
        <v>0.0753424657534247</v>
      </c>
      <c r="BH5" s="4">
        <v>0.0536912751677852</v>
      </c>
      <c r="BI5" s="4">
        <v>0.0701754385964912</v>
      </c>
      <c r="BJ5" s="4">
        <v>0.275590551181102</v>
      </c>
      <c r="BK5" s="4">
        <v>0.143468950749465</v>
      </c>
      <c r="BL5" s="4">
        <v>0.101092896174863</v>
      </c>
      <c r="BM5" s="4">
        <v>0.0093984962406015</v>
      </c>
      <c r="BN5" s="4">
        <v>0</v>
      </c>
      <c r="BO5" s="4">
        <v>0.0223463687150838</v>
      </c>
      <c r="BP5" s="4">
        <v>0.037593984962406</v>
      </c>
      <c r="BQ5" s="4">
        <v>0.0120481927710843</v>
      </c>
      <c r="BR5" s="4">
        <v>0.00888888888888889</v>
      </c>
      <c r="BS5" s="4">
        <v>0.0191570881226054</v>
      </c>
      <c r="BT5" s="4">
        <v>0.00136425648021828</v>
      </c>
      <c r="BU5" s="4">
        <v>0.00743494423791822</v>
      </c>
      <c r="BV5" s="4">
        <v>0.00746268656716418</v>
      </c>
      <c r="BW5" s="4">
        <v>0.0155642023346304</v>
      </c>
      <c r="BX5" s="4">
        <v>0.00711743772241993</v>
      </c>
      <c r="BY5" s="4">
        <v>0.00515463917525773</v>
      </c>
      <c r="BZ5" s="4">
        <v>0.00523560209424084</v>
      </c>
      <c r="CA5" s="4">
        <v>0.00543478260869565</v>
      </c>
      <c r="CB5" s="4">
        <v>0.0150501672240803</v>
      </c>
      <c r="CC5" s="4">
        <v>0.0138888888888889</v>
      </c>
      <c r="CD5" s="4">
        <v>0.0122950819672131</v>
      </c>
      <c r="CE5" s="4">
        <v>0</v>
      </c>
      <c r="CF5" s="4">
        <v>0.00904977375565611</v>
      </c>
      <c r="CG5" s="4">
        <v>0</v>
      </c>
      <c r="CH5" s="4">
        <v>0.0198019801980198</v>
      </c>
      <c r="CI5" s="4">
        <v>0.00975609756097561</v>
      </c>
      <c r="CJ5" s="4">
        <v>0.00245098039215686</v>
      </c>
    </row>
    <row r="6" spans="1:88">
      <c r="A6" s="3" t="s">
        <v>476</v>
      </c>
      <c r="B6" s="4">
        <v>0.321212121212121</v>
      </c>
      <c r="C6" s="4">
        <v>0.359712230215827</v>
      </c>
      <c r="D6" s="4">
        <v>0.376884422110553</v>
      </c>
      <c r="E6" s="4">
        <v>0.347670250896057</v>
      </c>
      <c r="F6" s="4">
        <v>0.172804532577904</v>
      </c>
      <c r="G6" s="4">
        <v>0.308457711442786</v>
      </c>
      <c r="H6" s="4">
        <v>0.33695652173913</v>
      </c>
      <c r="I6" s="4">
        <v>0.503496503496504</v>
      </c>
      <c r="J6" s="4">
        <v>0.361607142857143</v>
      </c>
      <c r="K6" s="4">
        <v>0.418918918918919</v>
      </c>
      <c r="L6" s="4">
        <v>0.356617647058824</v>
      </c>
      <c r="M6" s="4">
        <v>0.223214285714286</v>
      </c>
      <c r="N6" s="4">
        <v>0.537634408602151</v>
      </c>
      <c r="O6" s="4">
        <v>0</v>
      </c>
      <c r="P6" s="4">
        <v>0.0105263157894737</v>
      </c>
      <c r="Q6" s="4">
        <v>0.0405405405405405</v>
      </c>
      <c r="R6" s="4">
        <v>0.0377358490566038</v>
      </c>
      <c r="S6" s="4">
        <v>0.012987012987013</v>
      </c>
      <c r="T6" s="4">
        <v>0.027027027027027</v>
      </c>
      <c r="U6" s="4">
        <v>0</v>
      </c>
      <c r="V6" s="4">
        <v>0.0102040816326531</v>
      </c>
      <c r="W6" s="4">
        <v>0</v>
      </c>
      <c r="X6" s="4">
        <v>0.00232018561484919</v>
      </c>
      <c r="Y6" s="4">
        <v>0.215686274509804</v>
      </c>
      <c r="Z6" s="4">
        <v>0.025</v>
      </c>
      <c r="AA6" s="4">
        <v>0</v>
      </c>
      <c r="AB6" s="4">
        <v>0</v>
      </c>
      <c r="AC6" s="4">
        <v>0</v>
      </c>
      <c r="AD6" s="4">
        <v>0</v>
      </c>
      <c r="AE6" s="4">
        <v>0.023581429624171</v>
      </c>
      <c r="AF6" s="4">
        <v>0.073321554770318</v>
      </c>
      <c r="AG6" s="4">
        <v>0.151515151515152</v>
      </c>
      <c r="AH6" s="4">
        <v>0.144736842105263</v>
      </c>
      <c r="AI6" s="4">
        <v>0.0166666666666667</v>
      </c>
      <c r="AJ6" s="4">
        <v>0.32</v>
      </c>
      <c r="AK6" s="4">
        <v>0.0958083832335329</v>
      </c>
      <c r="AL6" s="4">
        <v>0.0725388601036269</v>
      </c>
      <c r="AM6" s="4">
        <v>0.0805687203791469</v>
      </c>
      <c r="AN6" s="4">
        <v>0.151033386327504</v>
      </c>
      <c r="AO6" s="4">
        <v>0.00479616306954436</v>
      </c>
      <c r="AP6" s="4">
        <v>0.220183486238532</v>
      </c>
      <c r="AQ6" s="4">
        <v>0.168478260869565</v>
      </c>
      <c r="AR6" s="4">
        <v>0.0893617021276596</v>
      </c>
      <c r="AS6" s="4">
        <v>0.1125</v>
      </c>
      <c r="AT6" s="4">
        <v>0.244444444444444</v>
      </c>
      <c r="AU6" s="4">
        <v>0.106382978723404</v>
      </c>
      <c r="AV6" s="4">
        <v>0</v>
      </c>
      <c r="AW6" s="4">
        <v>0.156028368794326</v>
      </c>
      <c r="AX6" s="4">
        <v>0.0723684210526316</v>
      </c>
      <c r="AY6" s="4">
        <v>0.0703422053231939</v>
      </c>
      <c r="AZ6" s="4">
        <v>0.038961038961039</v>
      </c>
      <c r="BA6" s="4">
        <v>0.0600343053173242</v>
      </c>
      <c r="BB6" s="4">
        <v>0.0378787878787879</v>
      </c>
      <c r="BC6" s="4">
        <v>0.0236220472440945</v>
      </c>
      <c r="BD6" s="4">
        <v>0.0536585365853659</v>
      </c>
      <c r="BE6" s="4">
        <v>0.0625</v>
      </c>
      <c r="BF6" s="4">
        <v>0.0678851174934726</v>
      </c>
      <c r="BG6" s="4">
        <v>0.0479452054794521</v>
      </c>
      <c r="BH6" s="4">
        <v>0.0536912751677852</v>
      </c>
      <c r="BI6" s="4">
        <v>0.0789473684210526</v>
      </c>
      <c r="BJ6" s="4">
        <v>0.078740157480315</v>
      </c>
      <c r="BK6" s="4">
        <v>0.0428265524625268</v>
      </c>
      <c r="BL6" s="4">
        <v>0.0901639344262295</v>
      </c>
      <c r="BM6" s="4">
        <v>0.0601503759398496</v>
      </c>
      <c r="BN6" s="4">
        <v>0.0313588850174216</v>
      </c>
      <c r="BO6" s="4">
        <v>0.0111731843575419</v>
      </c>
      <c r="BP6" s="4">
        <v>0.037593984962406</v>
      </c>
      <c r="BQ6" s="4">
        <v>0.00602409638554217</v>
      </c>
      <c r="BR6" s="4">
        <v>0.00444444444444444</v>
      </c>
      <c r="BS6" s="4">
        <v>0.0881226053639847</v>
      </c>
      <c r="BT6" s="4">
        <v>0</v>
      </c>
      <c r="BU6" s="4">
        <v>0</v>
      </c>
      <c r="BV6" s="4">
        <v>0.00373134328358209</v>
      </c>
      <c r="BW6" s="4">
        <v>0.0428015564202335</v>
      </c>
      <c r="BX6" s="4">
        <v>0.0124555160142349</v>
      </c>
      <c r="BY6" s="4">
        <v>0.00515463917525773</v>
      </c>
      <c r="BZ6" s="4">
        <v>0.0209424083769634</v>
      </c>
      <c r="CA6" s="4">
        <v>0.0217391304347826</v>
      </c>
      <c r="CB6" s="4">
        <v>0.0183946488294314</v>
      </c>
      <c r="CC6" s="4">
        <v>0.0162037037037037</v>
      </c>
      <c r="CD6" s="4">
        <v>0.0450819672131148</v>
      </c>
      <c r="CE6" s="4">
        <v>0.018018018018018</v>
      </c>
      <c r="CF6" s="4">
        <v>0.0135746606334842</v>
      </c>
      <c r="CG6" s="4">
        <v>0</v>
      </c>
      <c r="CH6" s="4">
        <v>0.0495049504950495</v>
      </c>
      <c r="CI6" s="4">
        <v>0</v>
      </c>
      <c r="CJ6" s="4">
        <v>0.0220588235294118</v>
      </c>
    </row>
    <row r="7" spans="1:88">
      <c r="A7" s="3" t="s">
        <v>477</v>
      </c>
      <c r="B7" s="4">
        <v>0.290909090909091</v>
      </c>
      <c r="C7" s="4">
        <v>0.262589928057554</v>
      </c>
      <c r="D7" s="4">
        <v>0.341708542713568</v>
      </c>
      <c r="E7" s="4">
        <v>0.283154121863799</v>
      </c>
      <c r="F7" s="4">
        <v>0.322946175637394</v>
      </c>
      <c r="G7" s="4">
        <v>0.258706467661692</v>
      </c>
      <c r="H7" s="4">
        <v>0.342391304347826</v>
      </c>
      <c r="I7" s="4">
        <v>0.370629370629371</v>
      </c>
      <c r="J7" s="4">
        <v>0.245535714285714</v>
      </c>
      <c r="K7" s="4">
        <v>0.333333333333333</v>
      </c>
      <c r="L7" s="4">
        <v>0.272058823529412</v>
      </c>
      <c r="M7" s="4">
        <v>0.455357142857143</v>
      </c>
      <c r="N7" s="4">
        <v>0.338709677419355</v>
      </c>
      <c r="O7" s="4">
        <v>0</v>
      </c>
      <c r="P7" s="4">
        <v>0</v>
      </c>
      <c r="Q7" s="4">
        <v>0.0135135135135135</v>
      </c>
      <c r="R7" s="4">
        <v>0.226415094339623</v>
      </c>
      <c r="S7" s="4">
        <v>0.480519480519481</v>
      </c>
      <c r="T7" s="4">
        <v>0.22972972972973</v>
      </c>
      <c r="U7" s="4">
        <v>0.0588235294117647</v>
      </c>
      <c r="V7" s="4">
        <v>0.0816326530612245</v>
      </c>
      <c r="W7" s="4">
        <v>0</v>
      </c>
      <c r="X7" s="4">
        <v>0</v>
      </c>
      <c r="Y7" s="4">
        <v>0</v>
      </c>
      <c r="Z7" s="4">
        <v>0.075</v>
      </c>
      <c r="AA7" s="4">
        <v>0.194029850746269</v>
      </c>
      <c r="AB7" s="4">
        <v>0</v>
      </c>
      <c r="AC7" s="4">
        <v>0</v>
      </c>
      <c r="AD7" s="4">
        <v>0</v>
      </c>
      <c r="AE7" s="4">
        <v>0.00221075902726603</v>
      </c>
      <c r="AF7" s="4">
        <v>0.00441696113074205</v>
      </c>
      <c r="AG7" s="4">
        <v>0</v>
      </c>
      <c r="AH7" s="4">
        <v>0</v>
      </c>
      <c r="AI7" s="4">
        <v>0</v>
      </c>
      <c r="AJ7" s="4">
        <v>0</v>
      </c>
      <c r="AK7" s="4">
        <v>0.0868263473053892</v>
      </c>
      <c r="AL7" s="4">
        <v>0.0621761658031088</v>
      </c>
      <c r="AM7" s="4">
        <v>0.014218009478673</v>
      </c>
      <c r="AN7" s="4">
        <v>0.109697933227345</v>
      </c>
      <c r="AO7" s="4">
        <v>0</v>
      </c>
      <c r="AP7" s="4">
        <v>0</v>
      </c>
      <c r="AQ7" s="4">
        <v>0.0706521739130435</v>
      </c>
      <c r="AR7" s="4">
        <v>0.00425531914893617</v>
      </c>
      <c r="AS7" s="4">
        <v>0.0125</v>
      </c>
      <c r="AT7" s="4">
        <v>0</v>
      </c>
      <c r="AU7" s="4">
        <v>0.0212765957446809</v>
      </c>
      <c r="AV7" s="4">
        <v>0</v>
      </c>
      <c r="AW7" s="4">
        <v>0.170212765957447</v>
      </c>
      <c r="AX7" s="4">
        <v>0.0197368421052632</v>
      </c>
      <c r="AY7" s="4">
        <v>0.00760456273764259</v>
      </c>
      <c r="AZ7" s="4">
        <v>0</v>
      </c>
      <c r="BA7" s="4">
        <v>0.00686106346483705</v>
      </c>
      <c r="BB7" s="4">
        <v>0.386363636363636</v>
      </c>
      <c r="BC7" s="4">
        <v>0.062992125984252</v>
      </c>
      <c r="BD7" s="4">
        <v>0.024390243902439</v>
      </c>
      <c r="BE7" s="4">
        <v>0.03125</v>
      </c>
      <c r="BF7" s="4">
        <v>0.0887728459530026</v>
      </c>
      <c r="BG7" s="4">
        <v>0.0342465753424658</v>
      </c>
      <c r="BH7" s="4">
        <v>0.214765100671141</v>
      </c>
      <c r="BI7" s="4">
        <v>0.114035087719298</v>
      </c>
      <c r="BJ7" s="4">
        <v>0.0393700787401575</v>
      </c>
      <c r="BK7" s="4">
        <v>0.0256959314775161</v>
      </c>
      <c r="BL7" s="4">
        <v>0.0792349726775956</v>
      </c>
      <c r="BM7" s="4">
        <v>0.0112781954887218</v>
      </c>
      <c r="BN7" s="4">
        <v>0.024390243902439</v>
      </c>
      <c r="BO7" s="4">
        <v>0</v>
      </c>
      <c r="BP7" s="4">
        <v>0.0601503759398496</v>
      </c>
      <c r="BQ7" s="4">
        <v>0.0120481927710843</v>
      </c>
      <c r="BR7" s="4">
        <v>0.00888888888888889</v>
      </c>
      <c r="BS7" s="4">
        <v>0</v>
      </c>
      <c r="BT7" s="4">
        <v>0.00954979536152797</v>
      </c>
      <c r="BU7" s="4">
        <v>0</v>
      </c>
      <c r="BV7" s="4">
        <v>0.0111940298507463</v>
      </c>
      <c r="BW7" s="4">
        <v>0.0350194552529183</v>
      </c>
      <c r="BX7" s="4">
        <v>0.0169039145907473</v>
      </c>
      <c r="BY7" s="4">
        <v>0.0077319587628866</v>
      </c>
      <c r="BZ7" s="4">
        <v>0</v>
      </c>
      <c r="CA7" s="4">
        <v>0.0108695652173913</v>
      </c>
      <c r="CB7" s="4">
        <v>0.0150501672240803</v>
      </c>
      <c r="CC7" s="4">
        <v>0.0115740740740741</v>
      </c>
      <c r="CD7" s="4">
        <v>0.0122950819672131</v>
      </c>
      <c r="CE7" s="4">
        <v>0.00900900900900901</v>
      </c>
      <c r="CF7" s="4">
        <v>0.00452488687782805</v>
      </c>
      <c r="CG7" s="4">
        <v>0</v>
      </c>
      <c r="CH7" s="4">
        <v>0.0148514851485149</v>
      </c>
      <c r="CI7" s="4">
        <v>0.00975609756097561</v>
      </c>
      <c r="CJ7" s="4">
        <v>0.00245098039215686</v>
      </c>
    </row>
    <row r="8" spans="1:88">
      <c r="A8" s="3" t="s">
        <v>478</v>
      </c>
      <c r="B8" s="4">
        <v>0.096969696969697</v>
      </c>
      <c r="C8" s="4">
        <v>0.0827338129496403</v>
      </c>
      <c r="D8" s="4">
        <v>0.0804020100502513</v>
      </c>
      <c r="E8" s="4">
        <v>0.0609318996415771</v>
      </c>
      <c r="F8" s="4">
        <v>0.0934844192634561</v>
      </c>
      <c r="G8" s="4">
        <v>0.0298507462686567</v>
      </c>
      <c r="H8" s="4">
        <v>0.0434782608695652</v>
      </c>
      <c r="I8" s="4">
        <v>0.027972027972028</v>
      </c>
      <c r="J8" s="4">
        <v>0.0848214285714286</v>
      </c>
      <c r="K8" s="4">
        <v>0.0720720720720721</v>
      </c>
      <c r="L8" s="4">
        <v>0.0845588235294118</v>
      </c>
      <c r="M8" s="4">
        <v>0.102678571428571</v>
      </c>
      <c r="N8" s="4">
        <v>0.0268817204301075</v>
      </c>
      <c r="O8" s="4">
        <v>0</v>
      </c>
      <c r="P8" s="4">
        <v>0</v>
      </c>
      <c r="Q8" s="4">
        <v>0.0135135135135135</v>
      </c>
      <c r="R8" s="4">
        <v>0</v>
      </c>
      <c r="S8" s="4">
        <v>0.012987012987013</v>
      </c>
      <c r="T8" s="4">
        <v>0</v>
      </c>
      <c r="U8" s="4">
        <v>0</v>
      </c>
      <c r="V8" s="4">
        <v>0</v>
      </c>
      <c r="W8" s="4">
        <v>0</v>
      </c>
      <c r="X8" s="4">
        <v>0.00232018561484919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0.0131578947368421</v>
      </c>
      <c r="AI8" s="4">
        <v>0</v>
      </c>
      <c r="AJ8" s="4">
        <v>0</v>
      </c>
      <c r="AK8" s="4">
        <v>0.0718562874251497</v>
      </c>
      <c r="AL8" s="4">
        <v>0.0336787564766839</v>
      </c>
      <c r="AM8" s="4">
        <v>0.033175355450237</v>
      </c>
      <c r="AN8" s="4">
        <v>0.0556438791732909</v>
      </c>
      <c r="AO8" s="4">
        <v>0.0311750599520384</v>
      </c>
      <c r="AP8" s="4">
        <v>0.155963302752294</v>
      </c>
      <c r="AQ8" s="4">
        <v>0.108695652173913</v>
      </c>
      <c r="AR8" s="4">
        <v>0.0808510638297872</v>
      </c>
      <c r="AS8" s="4">
        <v>0.1375</v>
      </c>
      <c r="AT8" s="4">
        <v>0.0888888888888889</v>
      </c>
      <c r="AU8" s="4">
        <v>0.0425531914893617</v>
      </c>
      <c r="AV8" s="4">
        <v>0.0555555555555556</v>
      </c>
      <c r="AW8" s="4">
        <v>0.0260047281323877</v>
      </c>
      <c r="AX8" s="4">
        <v>0</v>
      </c>
      <c r="AY8" s="4">
        <v>0</v>
      </c>
      <c r="AZ8" s="4">
        <v>0</v>
      </c>
      <c r="BA8" s="4">
        <v>0</v>
      </c>
      <c r="BB8" s="4">
        <v>0.0151515151515152</v>
      </c>
      <c r="BC8" s="4">
        <v>0</v>
      </c>
      <c r="BD8" s="4">
        <v>0</v>
      </c>
      <c r="BE8" s="4">
        <v>0.00520833333333333</v>
      </c>
      <c r="BF8" s="4">
        <v>0.00261096605744125</v>
      </c>
      <c r="BG8" s="4">
        <v>0</v>
      </c>
      <c r="BH8" s="4">
        <v>0.0201342281879195</v>
      </c>
      <c r="BI8" s="4">
        <v>0</v>
      </c>
      <c r="BJ8" s="4">
        <v>0</v>
      </c>
      <c r="BK8" s="4">
        <v>0</v>
      </c>
      <c r="BL8" s="4">
        <v>0.00273224043715847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0.000889679715302491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</row>
    <row r="9" spans="1:88">
      <c r="A9" s="3" t="s">
        <v>479</v>
      </c>
      <c r="B9" s="4">
        <v>0.133333333333333</v>
      </c>
      <c r="C9" s="4">
        <v>0.133093525179856</v>
      </c>
      <c r="D9" s="4">
        <v>0.100502512562814</v>
      </c>
      <c r="E9" s="4">
        <v>0.121863799283154</v>
      </c>
      <c r="F9" s="4">
        <v>0.161473087818697</v>
      </c>
      <c r="G9" s="4">
        <v>0.124378109452736</v>
      </c>
      <c r="H9" s="4">
        <v>0.135869565217391</v>
      </c>
      <c r="I9" s="4">
        <v>0.167832167832168</v>
      </c>
      <c r="J9" s="4">
        <v>0.133928571428571</v>
      </c>
      <c r="K9" s="4">
        <v>0.126126126126126</v>
      </c>
      <c r="L9" s="4">
        <v>0.106617647058824</v>
      </c>
      <c r="M9" s="4">
        <v>0.21875</v>
      </c>
      <c r="N9" s="4">
        <v>0.139784946236559</v>
      </c>
      <c r="O9" s="4">
        <v>0</v>
      </c>
      <c r="P9" s="4">
        <v>0</v>
      </c>
      <c r="Q9" s="4">
        <v>0.027027027027027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0.00696055684454756</v>
      </c>
      <c r="Y9" s="4">
        <v>0</v>
      </c>
      <c r="Z9" s="4">
        <v>0.025</v>
      </c>
      <c r="AA9" s="4">
        <v>0</v>
      </c>
      <c r="AB9" s="4">
        <v>0</v>
      </c>
      <c r="AC9" s="4">
        <v>0</v>
      </c>
      <c r="AD9" s="4">
        <v>0</v>
      </c>
      <c r="AE9" s="4">
        <v>0.00147383935151069</v>
      </c>
      <c r="AF9" s="4">
        <v>0.0088339222614841</v>
      </c>
      <c r="AG9" s="4">
        <v>0.0909090909090909</v>
      </c>
      <c r="AH9" s="4">
        <v>0.0131578947368421</v>
      </c>
      <c r="AI9" s="4">
        <v>0.1</v>
      </c>
      <c r="AJ9" s="4">
        <v>0.08</v>
      </c>
      <c r="AK9" s="4">
        <v>0.0479041916167665</v>
      </c>
      <c r="AL9" s="4">
        <v>0.0647668393782383</v>
      </c>
      <c r="AM9" s="4">
        <v>0.0853080568720379</v>
      </c>
      <c r="AN9" s="4">
        <v>0.0699523052464229</v>
      </c>
      <c r="AO9" s="4">
        <v>0.00719424460431655</v>
      </c>
      <c r="AP9" s="4">
        <v>0.036697247706422</v>
      </c>
      <c r="AQ9" s="4">
        <v>0.016304347826087</v>
      </c>
      <c r="AR9" s="4">
        <v>0</v>
      </c>
      <c r="AS9" s="4">
        <v>0.0375</v>
      </c>
      <c r="AT9" s="4">
        <v>0.0222222222222222</v>
      </c>
      <c r="AU9" s="4">
        <v>0</v>
      </c>
      <c r="AV9" s="4">
        <v>0.0555555555555556</v>
      </c>
      <c r="AW9" s="4">
        <v>0.0780141843971631</v>
      </c>
      <c r="AX9" s="4">
        <v>0</v>
      </c>
      <c r="AY9" s="4">
        <v>0.00760456273764259</v>
      </c>
      <c r="AZ9" s="4">
        <v>0</v>
      </c>
      <c r="BA9" s="4">
        <v>0.00343053173241852</v>
      </c>
      <c r="BB9" s="4">
        <v>0.159090909090909</v>
      </c>
      <c r="BC9" s="4">
        <v>0.078740157480315</v>
      </c>
      <c r="BD9" s="4">
        <v>0.0390243902439024</v>
      </c>
      <c r="BE9" s="4">
        <v>0.078125</v>
      </c>
      <c r="BF9" s="4">
        <v>0.0548302872062663</v>
      </c>
      <c r="BG9" s="4">
        <v>0.0684931506849315</v>
      </c>
      <c r="BH9" s="4">
        <v>0.134228187919463</v>
      </c>
      <c r="BI9" s="4">
        <v>0.140350877192982</v>
      </c>
      <c r="BJ9" s="4">
        <v>0.0078740157480315</v>
      </c>
      <c r="BK9" s="4">
        <v>0.0171306209850107</v>
      </c>
      <c r="BL9" s="4">
        <v>0.087431693989071</v>
      </c>
      <c r="BM9" s="4">
        <v>0.0018796992481203</v>
      </c>
      <c r="BN9" s="4">
        <v>0</v>
      </c>
      <c r="BO9" s="4">
        <v>0.0167597765363128</v>
      </c>
      <c r="BP9" s="4">
        <v>0</v>
      </c>
      <c r="BQ9" s="4">
        <v>0</v>
      </c>
      <c r="BR9" s="4">
        <v>0.00444444444444444</v>
      </c>
      <c r="BS9" s="4">
        <v>0.114942528735632</v>
      </c>
      <c r="BT9" s="4">
        <v>0.00545702592087312</v>
      </c>
      <c r="BU9" s="4">
        <v>0.00371747211895911</v>
      </c>
      <c r="BV9" s="4">
        <v>0.00373134328358209</v>
      </c>
      <c r="BW9" s="4">
        <v>0</v>
      </c>
      <c r="BX9" s="4">
        <v>0.00711743772241993</v>
      </c>
      <c r="BY9" s="4">
        <v>0.00257731958762887</v>
      </c>
      <c r="BZ9" s="4">
        <v>0.0157068062827225</v>
      </c>
      <c r="CA9" s="4">
        <v>0.0271739130434783</v>
      </c>
      <c r="CB9" s="4">
        <v>0.00836120401337793</v>
      </c>
      <c r="CC9" s="4">
        <v>0.00462962962962963</v>
      </c>
      <c r="CD9" s="4">
        <v>0.00819672131147541</v>
      </c>
      <c r="CE9" s="4">
        <v>0.00900900900900901</v>
      </c>
      <c r="CF9" s="4">
        <v>0</v>
      </c>
      <c r="CG9" s="4">
        <v>0</v>
      </c>
      <c r="CH9" s="4">
        <v>0</v>
      </c>
      <c r="CI9" s="4">
        <v>0</v>
      </c>
      <c r="CJ9" s="4">
        <v>0.00490196078431373</v>
      </c>
    </row>
    <row r="10" spans="1:88">
      <c r="A10" s="3" t="s">
        <v>480</v>
      </c>
      <c r="B10" s="4">
        <v>0.206060606060606</v>
      </c>
      <c r="C10" s="4">
        <v>0.237410071942446</v>
      </c>
      <c r="D10" s="4">
        <v>0.291457286432161</v>
      </c>
      <c r="E10" s="4">
        <v>0.272401433691756</v>
      </c>
      <c r="F10" s="4">
        <v>0.155807365439093</v>
      </c>
      <c r="G10" s="4">
        <v>0.313432835820896</v>
      </c>
      <c r="H10" s="4">
        <v>0.298913043478261</v>
      </c>
      <c r="I10" s="4">
        <v>0.328671328671329</v>
      </c>
      <c r="J10" s="4">
        <v>0.241071428571429</v>
      </c>
      <c r="K10" s="4">
        <v>0.265765765765766</v>
      </c>
      <c r="L10" s="4">
        <v>0.224264705882353</v>
      </c>
      <c r="M10" s="4">
        <v>0.151785714285714</v>
      </c>
      <c r="N10" s="4">
        <v>0.306451612903226</v>
      </c>
      <c r="O10" s="4">
        <v>0</v>
      </c>
      <c r="P10" s="4">
        <v>0.0105263157894737</v>
      </c>
      <c r="Q10" s="4">
        <v>0</v>
      </c>
      <c r="R10" s="4">
        <v>0</v>
      </c>
      <c r="S10" s="4">
        <v>0.038961038961039</v>
      </c>
      <c r="T10" s="4">
        <v>0</v>
      </c>
      <c r="U10" s="4">
        <v>0</v>
      </c>
      <c r="V10" s="4">
        <v>0.0102040816326531</v>
      </c>
      <c r="W10" s="4">
        <v>0</v>
      </c>
      <c r="X10" s="4">
        <v>0.00928074245939675</v>
      </c>
      <c r="Y10" s="4">
        <v>0.0196078431372549</v>
      </c>
      <c r="Z10" s="4">
        <v>0</v>
      </c>
      <c r="AA10" s="4">
        <v>0</v>
      </c>
      <c r="AB10" s="4">
        <v>0</v>
      </c>
      <c r="AC10" s="4">
        <v>0.0909090909090909</v>
      </c>
      <c r="AD10" s="4">
        <v>0</v>
      </c>
      <c r="AE10" s="4">
        <v>0</v>
      </c>
      <c r="AF10" s="4">
        <v>0.00530035335689046</v>
      </c>
      <c r="AG10" s="4">
        <v>0.0303030303030303</v>
      </c>
      <c r="AH10" s="4">
        <v>0</v>
      </c>
      <c r="AI10" s="4">
        <v>0</v>
      </c>
      <c r="AJ10" s="4">
        <v>0</v>
      </c>
      <c r="AK10" s="4">
        <v>0.0449101796407186</v>
      </c>
      <c r="AL10" s="4">
        <v>0.0310880829015544</v>
      </c>
      <c r="AM10" s="4">
        <v>0.00947867298578199</v>
      </c>
      <c r="AN10" s="4">
        <v>0.0620031796502385</v>
      </c>
      <c r="AO10" s="4">
        <v>0</v>
      </c>
      <c r="AP10" s="4">
        <v>0</v>
      </c>
      <c r="AQ10" s="4">
        <v>0.0380434782608696</v>
      </c>
      <c r="AR10" s="4">
        <v>0.00851063829787234</v>
      </c>
      <c r="AS10" s="4">
        <v>0.0125</v>
      </c>
      <c r="AT10" s="4">
        <v>0</v>
      </c>
      <c r="AU10" s="4">
        <v>0</v>
      </c>
      <c r="AV10" s="4">
        <v>0</v>
      </c>
      <c r="AW10" s="4">
        <v>0.106382978723404</v>
      </c>
      <c r="AX10" s="4">
        <v>0</v>
      </c>
      <c r="AY10" s="4">
        <v>0.00760456273764259</v>
      </c>
      <c r="AZ10" s="4">
        <v>0.0194805194805195</v>
      </c>
      <c r="BA10" s="4">
        <v>0.0171526586620926</v>
      </c>
      <c r="BB10" s="4">
        <v>0.166666666666667</v>
      </c>
      <c r="BC10" s="4">
        <v>0.0551181102362205</v>
      </c>
      <c r="BD10" s="4">
        <v>0.0195121951219512</v>
      </c>
      <c r="BE10" s="4">
        <v>0.0729166666666667</v>
      </c>
      <c r="BF10" s="4">
        <v>0.0522193211488251</v>
      </c>
      <c r="BG10" s="4">
        <v>0.0684931506849315</v>
      </c>
      <c r="BH10" s="4">
        <v>0.10738255033557</v>
      </c>
      <c r="BI10" s="4">
        <v>0.0614035087719298</v>
      </c>
      <c r="BJ10" s="4">
        <v>0.031496062992126</v>
      </c>
      <c r="BK10" s="4">
        <v>0.0149892933618844</v>
      </c>
      <c r="BL10" s="4">
        <v>0.0710382513661202</v>
      </c>
      <c r="BM10" s="4">
        <v>0.0018796992481203</v>
      </c>
      <c r="BN10" s="4">
        <v>0.00348432055749129</v>
      </c>
      <c r="BO10" s="4">
        <v>0</v>
      </c>
      <c r="BP10" s="4">
        <v>0.0225563909774436</v>
      </c>
      <c r="BQ10" s="4">
        <v>0.00602409638554217</v>
      </c>
      <c r="BR10" s="4">
        <v>0.00444444444444444</v>
      </c>
      <c r="BS10" s="4">
        <v>0.0613026819923372</v>
      </c>
      <c r="BT10" s="4">
        <v>0</v>
      </c>
      <c r="BU10" s="4">
        <v>0</v>
      </c>
      <c r="BV10" s="4">
        <v>0.00746268656716418</v>
      </c>
      <c r="BW10" s="4">
        <v>0.00389105058365759</v>
      </c>
      <c r="BX10" s="4">
        <v>0.00533807829181495</v>
      </c>
      <c r="BY10" s="4">
        <v>0</v>
      </c>
      <c r="BZ10" s="4">
        <v>0</v>
      </c>
      <c r="CA10" s="4">
        <v>0.00271739130434783</v>
      </c>
      <c r="CB10" s="4">
        <v>0.00501672240802676</v>
      </c>
      <c r="CC10" s="4">
        <v>0</v>
      </c>
      <c r="CD10" s="4">
        <v>0</v>
      </c>
      <c r="CE10" s="4">
        <v>0.0045045045045045</v>
      </c>
      <c r="CF10" s="4">
        <v>0</v>
      </c>
      <c r="CG10" s="4">
        <v>0</v>
      </c>
      <c r="CH10" s="4">
        <v>0</v>
      </c>
      <c r="CI10" s="4">
        <v>0.00975609756097561</v>
      </c>
      <c r="CJ10" s="4">
        <v>0.00245098039215686</v>
      </c>
    </row>
    <row r="11" spans="1:88">
      <c r="A11" s="3" t="s">
        <v>481</v>
      </c>
      <c r="B11" s="4">
        <v>0.0424242424242424</v>
      </c>
      <c r="C11" s="4">
        <v>0.0323741007194245</v>
      </c>
      <c r="D11" s="4">
        <v>0.0150753768844221</v>
      </c>
      <c r="E11" s="4">
        <v>0.025089605734767</v>
      </c>
      <c r="F11" s="4">
        <v>0.0198300283286119</v>
      </c>
      <c r="G11" s="4">
        <v>0.0199004975124378</v>
      </c>
      <c r="H11" s="4">
        <v>0.0217391304347826</v>
      </c>
      <c r="I11" s="4">
        <v>0.048951048951049</v>
      </c>
      <c r="J11" s="4">
        <v>0.00446428571428571</v>
      </c>
      <c r="K11" s="4">
        <v>0.0135135135135135</v>
      </c>
      <c r="L11" s="4">
        <v>0.00367647058823529</v>
      </c>
      <c r="M11" s="4">
        <v>0.0267857142857143</v>
      </c>
      <c r="N11" s="4">
        <v>0.043010752688172</v>
      </c>
      <c r="O11" s="4">
        <v>0.0952380952380952</v>
      </c>
      <c r="P11" s="4">
        <v>0.0315789473684211</v>
      </c>
      <c r="Q11" s="4">
        <v>0.108108108108108</v>
      </c>
      <c r="R11" s="4">
        <v>0.0754716981132075</v>
      </c>
      <c r="S11" s="4">
        <v>0.12987012987013</v>
      </c>
      <c r="T11" s="4">
        <v>0.0540540540540541</v>
      </c>
      <c r="U11" s="4">
        <v>0.0294117647058824</v>
      </c>
      <c r="V11" s="4">
        <v>0.102040816326531</v>
      </c>
      <c r="W11" s="4">
        <v>0.0434782608695652</v>
      </c>
      <c r="X11" s="4">
        <v>0.0116009280742459</v>
      </c>
      <c r="Y11" s="4">
        <v>0.0588235294117647</v>
      </c>
      <c r="Z11" s="4">
        <v>0.05</v>
      </c>
      <c r="AA11" s="4">
        <v>0.0149253731343284</v>
      </c>
      <c r="AB11" s="4">
        <v>0.214285714285714</v>
      </c>
      <c r="AC11" s="4">
        <v>0.0909090909090909</v>
      </c>
      <c r="AD11" s="4">
        <v>0.333333333333333</v>
      </c>
      <c r="AE11" s="4">
        <v>0.00957995578481946</v>
      </c>
      <c r="AF11" s="4">
        <v>0.0141342756183746</v>
      </c>
      <c r="AG11" s="4">
        <v>0.151515151515152</v>
      </c>
      <c r="AH11" s="4">
        <v>0.105263157894737</v>
      </c>
      <c r="AI11" s="4">
        <v>0.1</v>
      </c>
      <c r="AJ11" s="4">
        <v>0.24</v>
      </c>
      <c r="AK11" s="4">
        <v>0.0898203592814371</v>
      </c>
      <c r="AL11" s="4">
        <v>0.134715025906736</v>
      </c>
      <c r="AM11" s="4">
        <v>0.18957345971564</v>
      </c>
      <c r="AN11" s="4">
        <v>0.0540540540540541</v>
      </c>
      <c r="AO11" s="4">
        <v>0.119904076738609</v>
      </c>
      <c r="AP11" s="4">
        <v>0.238532110091743</v>
      </c>
      <c r="AQ11" s="4">
        <v>0.217391304347826</v>
      </c>
      <c r="AR11" s="4">
        <v>0.051063829787234</v>
      </c>
      <c r="AS11" s="4">
        <v>0.05</v>
      </c>
      <c r="AT11" s="4">
        <v>0.0888888888888889</v>
      </c>
      <c r="AU11" s="4">
        <v>0.0851063829787234</v>
      </c>
      <c r="AV11" s="4">
        <v>0.222222222222222</v>
      </c>
      <c r="AW11" s="4">
        <v>0.0401891252955083</v>
      </c>
      <c r="AX11" s="4">
        <v>0.0328947368421053</v>
      </c>
      <c r="AY11" s="4">
        <v>0.0133079847908745</v>
      </c>
      <c r="AZ11" s="4">
        <v>0.0324675324675325</v>
      </c>
      <c r="BA11" s="4">
        <v>0.0102915951972556</v>
      </c>
      <c r="BB11" s="4">
        <v>0.0151515151515152</v>
      </c>
      <c r="BC11" s="4">
        <v>0.0393700787401575</v>
      </c>
      <c r="BD11" s="4">
        <v>0.0292682926829268</v>
      </c>
      <c r="BE11" s="4">
        <v>0.0260416666666667</v>
      </c>
      <c r="BF11" s="4">
        <v>0.010443864229765</v>
      </c>
      <c r="BG11" s="4">
        <v>0.0273972602739726</v>
      </c>
      <c r="BH11" s="4">
        <v>0</v>
      </c>
      <c r="BI11" s="4">
        <v>0.0350877192982456</v>
      </c>
      <c r="BJ11" s="4">
        <v>0.078740157480315</v>
      </c>
      <c r="BK11" s="4">
        <v>0.0171306209850107</v>
      </c>
      <c r="BL11" s="4">
        <v>0.046448087431694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0.00266903914590747</v>
      </c>
      <c r="BY11" s="4">
        <v>0</v>
      </c>
      <c r="BZ11" s="4">
        <v>0</v>
      </c>
      <c r="CA11" s="4">
        <v>0</v>
      </c>
      <c r="CB11" s="4">
        <v>0.00167224080267559</v>
      </c>
      <c r="CC11" s="4">
        <v>0.00462962962962963</v>
      </c>
      <c r="CD11" s="4">
        <v>0.00819672131147541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</row>
    <row r="12" spans="1:88">
      <c r="A12" s="3" t="s">
        <v>482</v>
      </c>
      <c r="B12" s="4">
        <v>0.487437185929648</v>
      </c>
      <c r="C12" s="4">
        <v>0.50609756097561</v>
      </c>
      <c r="D12" s="4">
        <v>0.472727272727273</v>
      </c>
      <c r="E12" s="4">
        <v>0.448028673835125</v>
      </c>
      <c r="F12" s="4">
        <v>0.30327868852459</v>
      </c>
      <c r="G12" s="4">
        <v>0.442786069651741</v>
      </c>
      <c r="H12" s="4">
        <v>0.429347826086957</v>
      </c>
      <c r="I12" s="4">
        <v>0.405594405594406</v>
      </c>
      <c r="J12" s="4">
        <v>0.669642857142857</v>
      </c>
      <c r="K12" s="4">
        <v>0.415441176470588</v>
      </c>
      <c r="L12" s="4">
        <v>0.563063063063063</v>
      </c>
      <c r="M12" s="4">
        <v>0.696428571428571</v>
      </c>
      <c r="N12" s="4">
        <v>0.462365591397849</v>
      </c>
      <c r="O12" s="4">
        <v>0.0476190476190476</v>
      </c>
      <c r="P12" s="4">
        <v>0.0421052631578947</v>
      </c>
      <c r="Q12" s="4">
        <v>0.121621621621622</v>
      </c>
      <c r="R12" s="4">
        <v>0.377358490566038</v>
      </c>
      <c r="S12" s="4">
        <v>0.168831168831169</v>
      </c>
      <c r="T12" s="4">
        <v>0.391891891891892</v>
      </c>
      <c r="U12" s="4">
        <v>0.176470588235294</v>
      </c>
      <c r="V12" s="4">
        <v>0.23469387755102</v>
      </c>
      <c r="W12" s="4">
        <v>0.0434782608695652</v>
      </c>
      <c r="X12" s="4">
        <v>0</v>
      </c>
      <c r="Y12" s="4">
        <v>0.196078431372549</v>
      </c>
      <c r="Z12" s="4">
        <v>0.15</v>
      </c>
      <c r="AA12" s="4">
        <v>0.343283582089552</v>
      </c>
      <c r="AB12" s="4">
        <v>0.857142857142857</v>
      </c>
      <c r="AC12" s="4">
        <v>0.545454545454545</v>
      </c>
      <c r="AD12" s="4">
        <v>0.416666666666667</v>
      </c>
      <c r="AE12" s="4">
        <v>0.0132645541635962</v>
      </c>
      <c r="AF12" s="4">
        <v>0.0397526501766784</v>
      </c>
      <c r="AG12" s="4">
        <v>0.848484848484849</v>
      </c>
      <c r="AH12" s="4">
        <v>0.539473684210526</v>
      </c>
      <c r="AI12" s="4">
        <v>0.366666666666667</v>
      </c>
      <c r="AJ12" s="4">
        <v>0.52</v>
      </c>
      <c r="AK12" s="4">
        <v>0.335329341317365</v>
      </c>
      <c r="AL12" s="4">
        <v>0.378238341968912</v>
      </c>
      <c r="AM12" s="4">
        <v>0.37914691943128</v>
      </c>
      <c r="AN12" s="4">
        <v>0.330683624801272</v>
      </c>
      <c r="AO12" s="4">
        <v>0.24220623501199</v>
      </c>
      <c r="AP12" s="4">
        <v>0.302752293577982</v>
      </c>
      <c r="AQ12" s="4">
        <v>0.576086956521739</v>
      </c>
      <c r="AR12" s="4">
        <v>0.331914893617021</v>
      </c>
      <c r="AS12" s="4">
        <v>0.4</v>
      </c>
      <c r="AT12" s="4">
        <v>0.266666666666667</v>
      </c>
      <c r="AU12" s="4">
        <v>0.170212765957447</v>
      </c>
      <c r="AV12" s="4">
        <v>0.444444444444444</v>
      </c>
      <c r="AW12" s="4">
        <v>0.0401891252955083</v>
      </c>
      <c r="AX12" s="4">
        <v>0.0263157894736842</v>
      </c>
      <c r="AY12" s="4">
        <v>0.0361216730038023</v>
      </c>
      <c r="AZ12" s="4">
        <v>0.051948051948052</v>
      </c>
      <c r="BA12" s="4">
        <v>0.0205831903945112</v>
      </c>
      <c r="BB12" s="4">
        <v>0.0833333333333333</v>
      </c>
      <c r="BC12" s="4">
        <v>0.173228346456693</v>
      </c>
      <c r="BD12" s="4">
        <v>0.0390243902439024</v>
      </c>
      <c r="BE12" s="4">
        <v>0.0520833333333333</v>
      </c>
      <c r="BF12" s="4">
        <v>0.0417754569190601</v>
      </c>
      <c r="BG12" s="4">
        <v>0.0616438356164384</v>
      </c>
      <c r="BH12" s="4">
        <v>0.0805369127516778</v>
      </c>
      <c r="BI12" s="4">
        <v>0</v>
      </c>
      <c r="BJ12" s="4">
        <v>0.102362204724409</v>
      </c>
      <c r="BK12" s="4">
        <v>0.0449678800856531</v>
      </c>
      <c r="BL12" s="4">
        <v>0.046448087431694</v>
      </c>
      <c r="BM12" s="4">
        <v>0.0225563909774436</v>
      </c>
      <c r="BN12" s="4">
        <v>0.0174216027874564</v>
      </c>
      <c r="BO12" s="4">
        <v>0.0167597765363128</v>
      </c>
      <c r="BP12" s="4">
        <v>0.037593984962406</v>
      </c>
      <c r="BQ12" s="4">
        <v>0</v>
      </c>
      <c r="BR12" s="4">
        <v>0.0177777777777778</v>
      </c>
      <c r="BS12" s="4">
        <v>0.0804597701149425</v>
      </c>
      <c r="BT12" s="4">
        <v>0.00136425648021828</v>
      </c>
      <c r="BU12" s="4">
        <v>0.00371747211895911</v>
      </c>
      <c r="BV12" s="4">
        <v>0.00746268656716418</v>
      </c>
      <c r="BW12" s="4">
        <v>0.0155642023346304</v>
      </c>
      <c r="BX12" s="4">
        <v>0.0231316725978648</v>
      </c>
      <c r="BY12" s="4">
        <v>0.0154639175257732</v>
      </c>
      <c r="BZ12" s="4">
        <v>0.0104712041884817</v>
      </c>
      <c r="CA12" s="4">
        <v>0.0353260869565217</v>
      </c>
      <c r="CB12" s="4">
        <v>0.020066889632107</v>
      </c>
      <c r="CC12" s="4">
        <v>0.00462962962962963</v>
      </c>
      <c r="CD12" s="4">
        <v>0.00819672131147541</v>
      </c>
      <c r="CE12" s="4">
        <v>0.0045045045045045</v>
      </c>
      <c r="CF12" s="4">
        <v>0.00904977375565611</v>
      </c>
      <c r="CG12" s="4">
        <v>0.0198019801980198</v>
      </c>
      <c r="CH12" s="4">
        <v>0.0247524752475248</v>
      </c>
      <c r="CI12" s="4">
        <v>0.0048780487804878</v>
      </c>
      <c r="CJ12" s="4">
        <v>0.00245098039215686</v>
      </c>
    </row>
    <row r="13" spans="1:88">
      <c r="A13" s="3" t="s">
        <v>483</v>
      </c>
      <c r="B13" s="4">
        <v>0.452261306532663</v>
      </c>
      <c r="C13" s="4">
        <v>0.50609756097561</v>
      </c>
      <c r="D13" s="4">
        <v>0.303030303030303</v>
      </c>
      <c r="E13" s="4">
        <v>0.365591397849462</v>
      </c>
      <c r="F13" s="4">
        <v>0.331967213114754</v>
      </c>
      <c r="G13" s="4">
        <v>0.417910447761194</v>
      </c>
      <c r="H13" s="4">
        <v>0.391304347826087</v>
      </c>
      <c r="I13" s="4">
        <v>0.517482517482518</v>
      </c>
      <c r="J13" s="4">
        <v>0.397321428571429</v>
      </c>
      <c r="K13" s="4">
        <v>0.558823529411765</v>
      </c>
      <c r="L13" s="4">
        <v>0.490990990990991</v>
      </c>
      <c r="M13" s="4">
        <v>0.4375</v>
      </c>
      <c r="N13" s="4">
        <v>0.295698924731183</v>
      </c>
      <c r="O13" s="4">
        <v>0.476190476190476</v>
      </c>
      <c r="P13" s="4">
        <v>0.2</v>
      </c>
      <c r="Q13" s="4">
        <v>0.189189189189189</v>
      </c>
      <c r="R13" s="4">
        <v>0.188679245283019</v>
      </c>
      <c r="S13" s="4">
        <v>0.0909090909090909</v>
      </c>
      <c r="T13" s="4">
        <v>0.189189189189189</v>
      </c>
      <c r="U13" s="4">
        <v>0.392156862745098</v>
      </c>
      <c r="V13" s="4">
        <v>0.193877551020408</v>
      </c>
      <c r="W13" s="4">
        <v>0.108695652173913</v>
      </c>
      <c r="X13" s="4">
        <v>0.0255220417633411</v>
      </c>
      <c r="Y13" s="4">
        <v>0.137254901960784</v>
      </c>
      <c r="Z13" s="4">
        <v>0.1</v>
      </c>
      <c r="AA13" s="4">
        <v>0.119402985074627</v>
      </c>
      <c r="AB13" s="4">
        <v>0</v>
      </c>
      <c r="AC13" s="4">
        <v>0.0909090909090909</v>
      </c>
      <c r="AD13" s="4">
        <v>0.25</v>
      </c>
      <c r="AE13" s="4">
        <v>0.148857774502579</v>
      </c>
      <c r="AF13" s="4">
        <v>0.149293286219081</v>
      </c>
      <c r="AG13" s="4">
        <v>0.212121212121212</v>
      </c>
      <c r="AH13" s="4">
        <v>0.0921052631578947</v>
      </c>
      <c r="AI13" s="4">
        <v>0.0833333333333333</v>
      </c>
      <c r="AJ13" s="4">
        <v>0.12</v>
      </c>
      <c r="AK13" s="4">
        <v>0.892215568862275</v>
      </c>
      <c r="AL13" s="4">
        <v>0.510362694300518</v>
      </c>
      <c r="AM13" s="4">
        <v>0.734597156398104</v>
      </c>
      <c r="AN13" s="4">
        <v>0.338632750397456</v>
      </c>
      <c r="AO13" s="4">
        <v>0.342925659472422</v>
      </c>
      <c r="AP13" s="4">
        <v>0.908256880733945</v>
      </c>
      <c r="AQ13" s="4">
        <v>0.842391304347826</v>
      </c>
      <c r="AR13" s="4">
        <v>1.20851063829787</v>
      </c>
      <c r="AS13" s="4">
        <v>0.375</v>
      </c>
      <c r="AT13" s="4">
        <v>0.622222222222222</v>
      </c>
      <c r="AU13" s="4">
        <v>0.319148936170213</v>
      </c>
      <c r="AV13" s="4">
        <v>0.944444444444444</v>
      </c>
      <c r="AW13" s="4">
        <v>0.215130023640662</v>
      </c>
      <c r="AX13" s="4">
        <v>0.0394736842105263</v>
      </c>
      <c r="AY13" s="4">
        <v>0.100760456273764</v>
      </c>
      <c r="AZ13" s="4">
        <v>0.025974025974026</v>
      </c>
      <c r="BA13" s="4">
        <v>0.113207547169811</v>
      </c>
      <c r="BB13" s="4">
        <v>0.265151515151515</v>
      </c>
      <c r="BC13" s="4">
        <v>0.094488188976378</v>
      </c>
      <c r="BD13" s="4">
        <v>0.0634146341463415</v>
      </c>
      <c r="BE13" s="4">
        <v>0.140625</v>
      </c>
      <c r="BF13" s="4">
        <v>0.0731070496083551</v>
      </c>
      <c r="BG13" s="4">
        <v>0.0479452054794521</v>
      </c>
      <c r="BH13" s="4">
        <v>0.087248322147651</v>
      </c>
      <c r="BI13" s="4">
        <v>0.0789473684210526</v>
      </c>
      <c r="BJ13" s="4">
        <v>0.047244094488189</v>
      </c>
      <c r="BK13" s="4">
        <v>0.0578158458244111</v>
      </c>
      <c r="BL13" s="4">
        <v>0.092896174863388</v>
      </c>
      <c r="BM13" s="4">
        <v>0.0620300751879699</v>
      </c>
      <c r="BN13" s="4">
        <v>0.0557491289198606</v>
      </c>
      <c r="BO13" s="4">
        <v>0.0279329608938547</v>
      </c>
      <c r="BP13" s="4">
        <v>0.037593984962406</v>
      </c>
      <c r="BQ13" s="4">
        <v>0.120481927710843</v>
      </c>
      <c r="BR13" s="4">
        <v>0.0755555555555556</v>
      </c>
      <c r="BS13" s="4">
        <v>0.10727969348659</v>
      </c>
      <c r="BT13" s="4">
        <v>0.0709413369713506</v>
      </c>
      <c r="BU13" s="4">
        <v>0.0631970260223048</v>
      </c>
      <c r="BV13" s="4">
        <v>0.0634328358208955</v>
      </c>
      <c r="BW13" s="4">
        <v>0.0817120622568093</v>
      </c>
      <c r="BX13" s="4">
        <v>0.0818505338078292</v>
      </c>
      <c r="BY13" s="4">
        <v>0.0515463917525773</v>
      </c>
      <c r="BZ13" s="4">
        <v>0.0732984293193717</v>
      </c>
      <c r="CA13" s="4">
        <v>0.0625</v>
      </c>
      <c r="CB13" s="4">
        <v>0.0752508361204013</v>
      </c>
      <c r="CC13" s="4">
        <v>0.0509259259259259</v>
      </c>
      <c r="CD13" s="4">
        <v>0.0778688524590164</v>
      </c>
      <c r="CE13" s="4">
        <v>0.126126126126126</v>
      </c>
      <c r="CF13" s="4">
        <v>0.0316742081447964</v>
      </c>
      <c r="CG13" s="4">
        <v>0.0594059405940594</v>
      </c>
      <c r="CH13" s="4">
        <v>0.138613861386139</v>
      </c>
      <c r="CI13" s="4">
        <v>0.0780487804878049</v>
      </c>
      <c r="CJ13" s="4">
        <v>0.0980392156862745</v>
      </c>
    </row>
    <row r="14" spans="1:88">
      <c r="A14" s="3" t="s">
        <v>484</v>
      </c>
      <c r="B14" s="4">
        <v>0.492462311557789</v>
      </c>
      <c r="C14" s="4">
        <v>0.524390243902439</v>
      </c>
      <c r="D14" s="4">
        <v>0.642424242424242</v>
      </c>
      <c r="E14" s="4">
        <v>0.630824372759857</v>
      </c>
      <c r="F14" s="4">
        <v>0.434426229508197</v>
      </c>
      <c r="G14" s="4">
        <v>0.532338308457711</v>
      </c>
      <c r="H14" s="4">
        <v>0.630434782608696</v>
      </c>
      <c r="I14" s="4">
        <v>0.524475524475524</v>
      </c>
      <c r="J14" s="4">
        <v>0.611607142857143</v>
      </c>
      <c r="K14" s="4">
        <v>0.573529411764706</v>
      </c>
      <c r="L14" s="4">
        <v>0.734234234234234</v>
      </c>
      <c r="M14" s="4">
        <v>0.526785714285714</v>
      </c>
      <c r="N14" s="4">
        <v>0.505376344086022</v>
      </c>
      <c r="O14" s="4">
        <v>0.333333333333333</v>
      </c>
      <c r="P14" s="4">
        <v>0.4</v>
      </c>
      <c r="Q14" s="4">
        <v>0.567567567567568</v>
      </c>
      <c r="R14" s="4">
        <v>0.39622641509434</v>
      </c>
      <c r="S14" s="4">
        <v>0.103896103896104</v>
      </c>
      <c r="T14" s="4">
        <v>0.243243243243243</v>
      </c>
      <c r="U14" s="4">
        <v>1</v>
      </c>
      <c r="V14" s="4">
        <v>0.316326530612245</v>
      </c>
      <c r="W14" s="4">
        <v>0.304347826086957</v>
      </c>
      <c r="X14" s="4">
        <v>0.0185614849187935</v>
      </c>
      <c r="Y14" s="4">
        <v>0.176470588235294</v>
      </c>
      <c r="Z14" s="4">
        <v>0.175</v>
      </c>
      <c r="AA14" s="4">
        <v>0.373134328358209</v>
      </c>
      <c r="AB14" s="4">
        <v>0.0714285714285714</v>
      </c>
      <c r="AC14" s="4">
        <v>0.0909090909090909</v>
      </c>
      <c r="AD14" s="4">
        <v>0.0833333333333333</v>
      </c>
      <c r="AE14" s="4">
        <v>0.0140014738393515</v>
      </c>
      <c r="AF14" s="4">
        <v>0.00530035335689046</v>
      </c>
      <c r="AG14" s="4">
        <v>0.181818181818182</v>
      </c>
      <c r="AH14" s="4">
        <v>0</v>
      </c>
      <c r="AI14" s="4">
        <v>0.0166666666666667</v>
      </c>
      <c r="AJ14" s="4">
        <v>0.04</v>
      </c>
      <c r="AK14" s="4">
        <v>0.658682634730539</v>
      </c>
      <c r="AL14" s="4">
        <v>0.546632124352332</v>
      </c>
      <c r="AM14" s="4">
        <v>0.677725118483412</v>
      </c>
      <c r="AN14" s="4">
        <v>0.564387917329094</v>
      </c>
      <c r="AO14" s="4">
        <v>0.690647482014389</v>
      </c>
      <c r="AP14" s="4">
        <v>0.642201834862385</v>
      </c>
      <c r="AQ14" s="4">
        <v>0.907608695652174</v>
      </c>
      <c r="AR14" s="4">
        <v>1.44255319148936</v>
      </c>
      <c r="AS14" s="4">
        <v>0.825</v>
      </c>
      <c r="AT14" s="4">
        <v>0.533333333333333</v>
      </c>
      <c r="AU14" s="4">
        <v>0.51063829787234</v>
      </c>
      <c r="AV14" s="4">
        <v>1.11111111111111</v>
      </c>
      <c r="AW14" s="4">
        <v>0.125295508274232</v>
      </c>
      <c r="AX14" s="4">
        <v>0.0197368421052632</v>
      </c>
      <c r="AY14" s="4">
        <v>0.0228136882129278</v>
      </c>
      <c r="AZ14" s="4">
        <v>0.0194805194805195</v>
      </c>
      <c r="BA14" s="4">
        <v>0.0205831903945112</v>
      </c>
      <c r="BB14" s="4">
        <v>0.106060606060606</v>
      </c>
      <c r="BC14" s="4">
        <v>0.0551181102362205</v>
      </c>
      <c r="BD14" s="4">
        <v>0.0195121951219512</v>
      </c>
      <c r="BE14" s="4">
        <v>0.0416666666666667</v>
      </c>
      <c r="BF14" s="4">
        <v>0.0548302872062663</v>
      </c>
      <c r="BG14" s="4">
        <v>0.0342465753424658</v>
      </c>
      <c r="BH14" s="4">
        <v>0.0604026845637584</v>
      </c>
      <c r="BI14" s="4">
        <v>0.0701754385964912</v>
      </c>
      <c r="BJ14" s="4">
        <v>0.0078740157480315</v>
      </c>
      <c r="BK14" s="4">
        <v>0.0256959314775161</v>
      </c>
      <c r="BL14" s="4">
        <v>0.0245901639344262</v>
      </c>
      <c r="BM14" s="4">
        <v>0.0093984962406015</v>
      </c>
      <c r="BN14" s="4">
        <v>0.0209059233449477</v>
      </c>
      <c r="BO14" s="4">
        <v>0.0111731843575419</v>
      </c>
      <c r="BP14" s="4">
        <v>0.0150375939849624</v>
      </c>
      <c r="BQ14" s="4">
        <v>0.0240963855421687</v>
      </c>
      <c r="BR14" s="4">
        <v>0.0222222222222222</v>
      </c>
      <c r="BS14" s="4">
        <v>0.0383141762452107</v>
      </c>
      <c r="BT14" s="4">
        <v>0.0136425648021828</v>
      </c>
      <c r="BU14" s="4">
        <v>0.00371747211895911</v>
      </c>
      <c r="BV14" s="4">
        <v>0.0186567164179104</v>
      </c>
      <c r="BW14" s="4">
        <v>0.0194552529182879</v>
      </c>
      <c r="BX14" s="4">
        <v>0.0151245551601423</v>
      </c>
      <c r="BY14" s="4">
        <v>0.0128865979381443</v>
      </c>
      <c r="BZ14" s="4">
        <v>0.0104712041884817</v>
      </c>
      <c r="CA14" s="4">
        <v>0.00271739130434783</v>
      </c>
      <c r="CB14" s="4">
        <v>0.00668896321070234</v>
      </c>
      <c r="CC14" s="4">
        <v>0.00925925925925926</v>
      </c>
      <c r="CD14" s="4">
        <v>0.0327868852459016</v>
      </c>
      <c r="CE14" s="4">
        <v>0.0225225225225225</v>
      </c>
      <c r="CF14" s="4">
        <v>0.00904977375565611</v>
      </c>
      <c r="CG14" s="4">
        <v>0.0148514851485149</v>
      </c>
      <c r="CH14" s="4">
        <v>0.0099009900990099</v>
      </c>
      <c r="CI14" s="4">
        <v>0.0341463414634146</v>
      </c>
      <c r="CJ14" s="4">
        <v>0.017156862745098</v>
      </c>
    </row>
    <row r="15" spans="1:88">
      <c r="A15" s="3" t="s">
        <v>485</v>
      </c>
      <c r="B15" s="4">
        <v>0.412121212121212</v>
      </c>
      <c r="C15" s="4">
        <v>0.327338129496403</v>
      </c>
      <c r="D15" s="4">
        <v>0.296482412060302</v>
      </c>
      <c r="E15" s="4">
        <v>0.340501792114695</v>
      </c>
      <c r="F15" s="4">
        <v>0.337110481586402</v>
      </c>
      <c r="G15" s="4">
        <v>0.378109452736318</v>
      </c>
      <c r="H15" s="4">
        <v>0.418478260869565</v>
      </c>
      <c r="I15" s="4">
        <v>0.342657342657343</v>
      </c>
      <c r="J15" s="4">
        <v>0.209821428571429</v>
      </c>
      <c r="K15" s="4">
        <v>0.292792792792793</v>
      </c>
      <c r="L15" s="4">
        <v>0.261029411764706</v>
      </c>
      <c r="M15" s="4">
        <v>0.397321428571429</v>
      </c>
      <c r="N15" s="4">
        <v>0.354838709677419</v>
      </c>
      <c r="O15" s="4">
        <v>0.142857142857143</v>
      </c>
      <c r="P15" s="4">
        <v>0.315789473684211</v>
      </c>
      <c r="Q15" s="4">
        <v>0.418918918918919</v>
      </c>
      <c r="R15" s="4">
        <v>0.339622641509434</v>
      </c>
      <c r="S15" s="4">
        <v>0.181818181818182</v>
      </c>
      <c r="T15" s="4">
        <v>0.297297297297297</v>
      </c>
      <c r="U15" s="4">
        <v>0.568627450980392</v>
      </c>
      <c r="V15" s="4">
        <v>0.183673469387755</v>
      </c>
      <c r="W15" s="4">
        <v>0.239130434782609</v>
      </c>
      <c r="X15" s="4">
        <v>0.201856148491879</v>
      </c>
      <c r="Y15" s="4">
        <v>0.215686274509804</v>
      </c>
      <c r="Z15" s="4">
        <v>0.225</v>
      </c>
      <c r="AA15" s="4">
        <v>0.313432835820896</v>
      </c>
      <c r="AB15" s="4">
        <v>0.142857142857143</v>
      </c>
      <c r="AC15" s="4">
        <v>0.181818181818182</v>
      </c>
      <c r="AD15" s="4">
        <v>0.0833333333333333</v>
      </c>
      <c r="AE15" s="4">
        <v>0.176123802505527</v>
      </c>
      <c r="AF15" s="4">
        <v>0.185512367491166</v>
      </c>
      <c r="AG15" s="4">
        <v>0.606060606060606</v>
      </c>
      <c r="AH15" s="4">
        <v>0.434210526315789</v>
      </c>
      <c r="AI15" s="4">
        <v>0.383333333333333</v>
      </c>
      <c r="AJ15" s="4">
        <v>0.52</v>
      </c>
      <c r="AK15" s="4">
        <v>0.649700598802395</v>
      </c>
      <c r="AL15" s="4">
        <v>0.525906735751295</v>
      </c>
      <c r="AM15" s="4">
        <v>0.601895734597156</v>
      </c>
      <c r="AN15" s="4">
        <v>0.351351351351351</v>
      </c>
      <c r="AO15" s="4">
        <v>0.122302158273381</v>
      </c>
      <c r="AP15" s="4">
        <v>0.440366972477064</v>
      </c>
      <c r="AQ15" s="4">
        <v>0.331521739130435</v>
      </c>
      <c r="AR15" s="4">
        <v>0.417021276595745</v>
      </c>
      <c r="AS15" s="4">
        <v>0.3</v>
      </c>
      <c r="AT15" s="4">
        <v>0.444444444444444</v>
      </c>
      <c r="AU15" s="4">
        <v>0.276595744680851</v>
      </c>
      <c r="AV15" s="4">
        <v>0.388888888888889</v>
      </c>
      <c r="AW15" s="4">
        <v>0.217494089834515</v>
      </c>
      <c r="AX15" s="4">
        <v>0.105263157894737</v>
      </c>
      <c r="AY15" s="4">
        <v>0.129277566539924</v>
      </c>
      <c r="AZ15" s="4">
        <v>0.162337662337662</v>
      </c>
      <c r="BA15" s="4">
        <v>0.125214408233276</v>
      </c>
      <c r="BB15" s="4">
        <v>0.295454545454545</v>
      </c>
      <c r="BC15" s="4">
        <v>0.244094488188976</v>
      </c>
      <c r="BD15" s="4">
        <v>0.185365853658537</v>
      </c>
      <c r="BE15" s="4">
        <v>0.307291666666667</v>
      </c>
      <c r="BF15" s="4">
        <v>0.258485639686684</v>
      </c>
      <c r="BG15" s="4">
        <v>0.308219178082192</v>
      </c>
      <c r="BH15" s="4">
        <v>0.342281879194631</v>
      </c>
      <c r="BI15" s="4">
        <v>0.342105263157895</v>
      </c>
      <c r="BJ15" s="4">
        <v>0.259842519685039</v>
      </c>
      <c r="BK15" s="4">
        <v>0.156316916488223</v>
      </c>
      <c r="BL15" s="4">
        <v>0.226775956284153</v>
      </c>
      <c r="BM15" s="4">
        <v>0.270676691729323</v>
      </c>
      <c r="BN15" s="4">
        <v>0.289198606271777</v>
      </c>
      <c r="BO15" s="4">
        <v>0.631284916201117</v>
      </c>
      <c r="BP15" s="4">
        <v>0.330827067669173</v>
      </c>
      <c r="BQ15" s="4">
        <v>0.349397590361446</v>
      </c>
      <c r="BR15" s="4">
        <v>0.32</v>
      </c>
      <c r="BS15" s="4">
        <v>0.386973180076628</v>
      </c>
      <c r="BT15" s="4">
        <v>0.298772169167804</v>
      </c>
      <c r="BU15" s="4">
        <v>0.24907063197026</v>
      </c>
      <c r="BV15" s="4">
        <v>0.246268656716418</v>
      </c>
      <c r="BW15" s="4">
        <v>0.392996108949416</v>
      </c>
      <c r="BX15" s="4">
        <v>0.342526690391459</v>
      </c>
      <c r="BY15" s="4">
        <v>0.34020618556701</v>
      </c>
      <c r="BZ15" s="4">
        <v>0.382198952879581</v>
      </c>
      <c r="CA15" s="4">
        <v>0.388586956521739</v>
      </c>
      <c r="CB15" s="4">
        <v>0.374581939799331</v>
      </c>
      <c r="CC15" s="4">
        <v>0.259259259259259</v>
      </c>
      <c r="CD15" s="4">
        <v>0.286885245901639</v>
      </c>
      <c r="CE15" s="4">
        <v>0.5</v>
      </c>
      <c r="CF15" s="4">
        <v>0.230769230769231</v>
      </c>
      <c r="CG15" s="4">
        <v>0.232673267326733</v>
      </c>
      <c r="CH15" s="4">
        <v>0.361386138613861</v>
      </c>
      <c r="CI15" s="4">
        <v>0.326829268292683</v>
      </c>
      <c r="CJ15" s="4">
        <v>0.416666666666667</v>
      </c>
    </row>
    <row r="16" spans="1:88">
      <c r="A16" s="3" t="s">
        <v>486</v>
      </c>
      <c r="B16" s="4">
        <v>0.187878787878788</v>
      </c>
      <c r="C16" s="4">
        <v>0.215827338129496</v>
      </c>
      <c r="D16" s="4">
        <v>0.14572864321608</v>
      </c>
      <c r="E16" s="4">
        <v>0.186379928315412</v>
      </c>
      <c r="F16" s="4">
        <v>0.220963172804533</v>
      </c>
      <c r="G16" s="4">
        <v>0.0845771144278607</v>
      </c>
      <c r="H16" s="4">
        <v>0.0978260869565217</v>
      </c>
      <c r="I16" s="4">
        <v>0.0839160839160839</v>
      </c>
      <c r="J16" s="4">
        <v>0.205357142857143</v>
      </c>
      <c r="K16" s="4">
        <v>0.279279279279279</v>
      </c>
      <c r="L16" s="4">
        <v>0.238970588235294</v>
      </c>
      <c r="M16" s="4">
        <v>0.348214285714286</v>
      </c>
      <c r="N16" s="4">
        <v>0.0752688172043011</v>
      </c>
      <c r="O16" s="4">
        <v>0.142857142857143</v>
      </c>
      <c r="P16" s="4">
        <v>0.115789473684211</v>
      </c>
      <c r="Q16" s="4">
        <v>0.243243243243243</v>
      </c>
      <c r="R16" s="4">
        <v>0.0566037735849057</v>
      </c>
      <c r="S16" s="4">
        <v>0.0909090909090909</v>
      </c>
      <c r="T16" s="4">
        <v>0.121621621621622</v>
      </c>
      <c r="U16" s="4">
        <v>0.303921568627451</v>
      </c>
      <c r="V16" s="4">
        <v>0.112244897959184</v>
      </c>
      <c r="W16" s="4">
        <v>0.108695652173913</v>
      </c>
      <c r="X16" s="4">
        <v>0.00928074245939675</v>
      </c>
      <c r="Y16" s="4">
        <v>0.0588235294117647</v>
      </c>
      <c r="Z16" s="4">
        <v>0.35</v>
      </c>
      <c r="AA16" s="4">
        <v>0.104477611940299</v>
      </c>
      <c r="AB16" s="4">
        <v>0.214285714285714</v>
      </c>
      <c r="AC16" s="4">
        <v>0.454545454545455</v>
      </c>
      <c r="AD16" s="4">
        <v>0.166666666666667</v>
      </c>
      <c r="AE16" s="4">
        <v>0.210759027266028</v>
      </c>
      <c r="AF16" s="4">
        <v>0.140459363957597</v>
      </c>
      <c r="AG16" s="4">
        <v>0.212121212121212</v>
      </c>
      <c r="AH16" s="4">
        <v>0.131578947368421</v>
      </c>
      <c r="AI16" s="4">
        <v>0.0833333333333333</v>
      </c>
      <c r="AJ16" s="4">
        <v>0.16</v>
      </c>
      <c r="AK16" s="4">
        <v>0.311377245508982</v>
      </c>
      <c r="AL16" s="4">
        <v>0.253886010362694</v>
      </c>
      <c r="AM16" s="4">
        <v>0.308056872037915</v>
      </c>
      <c r="AN16" s="4">
        <v>0.364069952305246</v>
      </c>
      <c r="AO16" s="4">
        <v>0.105515587529976</v>
      </c>
      <c r="AP16" s="4">
        <v>0.256880733944954</v>
      </c>
      <c r="AQ16" s="4">
        <v>0.277173913043478</v>
      </c>
      <c r="AR16" s="4">
        <v>0.234042553191489</v>
      </c>
      <c r="AS16" s="4">
        <v>0.0875</v>
      </c>
      <c r="AT16" s="4">
        <v>0.244444444444444</v>
      </c>
      <c r="AU16" s="4">
        <v>0.297872340425532</v>
      </c>
      <c r="AV16" s="4">
        <v>0.222222222222222</v>
      </c>
      <c r="AW16" s="4">
        <v>0.113475177304965</v>
      </c>
      <c r="AX16" s="4">
        <v>0.0855263157894737</v>
      </c>
      <c r="AY16" s="4">
        <v>0.0399239543726236</v>
      </c>
      <c r="AZ16" s="4">
        <v>0.0649350649350649</v>
      </c>
      <c r="BA16" s="4">
        <v>0.0257289879931389</v>
      </c>
      <c r="BB16" s="4">
        <v>0.0454545454545455</v>
      </c>
      <c r="BC16" s="4">
        <v>0.015748031496063</v>
      </c>
      <c r="BD16" s="4">
        <v>0.0439024390243902</v>
      </c>
      <c r="BE16" s="4">
        <v>0.0833333333333333</v>
      </c>
      <c r="BF16" s="4">
        <v>0.0939947780678851</v>
      </c>
      <c r="BG16" s="4">
        <v>0.0547945205479452</v>
      </c>
      <c r="BH16" s="4">
        <v>0.0402684563758389</v>
      </c>
      <c r="BI16" s="4">
        <v>0.149122807017544</v>
      </c>
      <c r="BJ16" s="4">
        <v>0.094488188976378</v>
      </c>
      <c r="BK16" s="4">
        <v>0.0321199143468951</v>
      </c>
      <c r="BL16" s="4">
        <v>0.0491803278688525</v>
      </c>
      <c r="BM16" s="4">
        <v>0.135338345864662</v>
      </c>
      <c r="BN16" s="4">
        <v>0.0871080139372822</v>
      </c>
      <c r="BO16" s="4">
        <v>0.139664804469274</v>
      </c>
      <c r="BP16" s="4">
        <v>0.12781954887218</v>
      </c>
      <c r="BQ16" s="4">
        <v>0.192771084337349</v>
      </c>
      <c r="BR16" s="4">
        <v>0.191111111111111</v>
      </c>
      <c r="BS16" s="4">
        <v>0.379310344827586</v>
      </c>
      <c r="BT16" s="4">
        <v>0.190995907230559</v>
      </c>
      <c r="BU16" s="4">
        <v>0.0557620817843866</v>
      </c>
      <c r="BV16" s="4">
        <v>0.171641791044776</v>
      </c>
      <c r="BW16" s="4">
        <v>0.132295719844358</v>
      </c>
      <c r="BX16" s="4">
        <v>0.184163701067616</v>
      </c>
      <c r="BY16" s="4">
        <v>0.121134020618557</v>
      </c>
      <c r="BZ16" s="4">
        <v>0.0837696335078534</v>
      </c>
      <c r="CA16" s="4">
        <v>0.0978260869565217</v>
      </c>
      <c r="CB16" s="4">
        <v>0.0852842809364548</v>
      </c>
      <c r="CC16" s="4">
        <v>0.106481481481481</v>
      </c>
      <c r="CD16" s="4">
        <v>0.135245901639344</v>
      </c>
      <c r="CE16" s="4">
        <v>0.121621621621622</v>
      </c>
      <c r="CF16" s="4">
        <v>0.144796380090498</v>
      </c>
      <c r="CG16" s="4">
        <v>0.0693069306930693</v>
      </c>
      <c r="CH16" s="4">
        <v>0.193069306930693</v>
      </c>
      <c r="CI16" s="4">
        <v>0.0975609756097561</v>
      </c>
      <c r="CJ16" s="4">
        <v>0.159313725490196</v>
      </c>
    </row>
    <row r="17" spans="1:88">
      <c r="A17" s="3" t="s">
        <v>487</v>
      </c>
      <c r="B17" s="4">
        <v>0.0424242424242424</v>
      </c>
      <c r="C17" s="4">
        <v>0.0251798561151079</v>
      </c>
      <c r="D17" s="4">
        <v>0.0100502512562814</v>
      </c>
      <c r="E17" s="4">
        <v>0.014336917562724</v>
      </c>
      <c r="F17" s="4">
        <v>0.0169971671388102</v>
      </c>
      <c r="G17" s="4">
        <v>0.00995024875621891</v>
      </c>
      <c r="H17" s="4">
        <v>0.0271739130434783</v>
      </c>
      <c r="I17" s="4">
        <v>0.00699300699300699</v>
      </c>
      <c r="J17" s="4">
        <v>0.0580357142857143</v>
      </c>
      <c r="K17" s="4">
        <v>0.0495495495495496</v>
      </c>
      <c r="L17" s="4">
        <v>0.0477941176470588</v>
      </c>
      <c r="M17" s="4">
        <v>0.0223214285714286</v>
      </c>
      <c r="N17" s="4">
        <v>0.010752688172043</v>
      </c>
      <c r="O17" s="4">
        <v>0</v>
      </c>
      <c r="P17" s="4">
        <v>0.0315789473684211</v>
      </c>
      <c r="Q17" s="4">
        <v>0</v>
      </c>
      <c r="R17" s="4">
        <v>0</v>
      </c>
      <c r="S17" s="4">
        <v>0</v>
      </c>
      <c r="T17" s="4">
        <v>0</v>
      </c>
      <c r="U17" s="4">
        <v>0.0588235294117647</v>
      </c>
      <c r="V17" s="4">
        <v>0.0204081632653061</v>
      </c>
      <c r="W17" s="4">
        <v>0</v>
      </c>
      <c r="X17" s="4">
        <v>0.0139211136890951</v>
      </c>
      <c r="Y17" s="4">
        <v>0.0196078431372549</v>
      </c>
      <c r="Z17" s="4">
        <v>0</v>
      </c>
      <c r="AA17" s="4">
        <v>0.0149253731343284</v>
      </c>
      <c r="AB17" s="4">
        <v>0.714285714285714</v>
      </c>
      <c r="AC17" s="4">
        <v>0.818181818181818</v>
      </c>
      <c r="AD17" s="4">
        <v>0.916666666666667</v>
      </c>
      <c r="AE17" s="4">
        <v>0.0198968312453943</v>
      </c>
      <c r="AF17" s="4">
        <v>0.00706713780918728</v>
      </c>
      <c r="AG17" s="4">
        <v>0.0303030303030303</v>
      </c>
      <c r="AH17" s="4">
        <v>0.842105263157895</v>
      </c>
      <c r="AI17" s="4">
        <v>0.133333333333333</v>
      </c>
      <c r="AJ17" s="4">
        <v>0.16</v>
      </c>
      <c r="AK17" s="4">
        <v>0.12874251497006</v>
      </c>
      <c r="AL17" s="4">
        <v>0.0932642487046632</v>
      </c>
      <c r="AM17" s="4">
        <v>0.113744075829384</v>
      </c>
      <c r="AN17" s="4">
        <v>0.0445151033386327</v>
      </c>
      <c r="AO17" s="4">
        <v>0.00239808153477218</v>
      </c>
      <c r="AP17" s="4">
        <v>0.036697247706422</v>
      </c>
      <c r="AQ17" s="4">
        <v>0.0434782608695652</v>
      </c>
      <c r="AR17" s="4">
        <v>0.025531914893617</v>
      </c>
      <c r="AS17" s="4">
        <v>0</v>
      </c>
      <c r="AT17" s="4">
        <v>0.0666666666666667</v>
      </c>
      <c r="AU17" s="4">
        <v>0</v>
      </c>
      <c r="AV17" s="4">
        <v>0</v>
      </c>
      <c r="AW17" s="4">
        <v>0.00945626477541371</v>
      </c>
      <c r="AX17" s="4">
        <v>0</v>
      </c>
      <c r="AY17" s="4">
        <v>0.00570342205323194</v>
      </c>
      <c r="AZ17" s="4">
        <v>0</v>
      </c>
      <c r="BA17" s="4">
        <v>0.00343053173241852</v>
      </c>
      <c r="BB17" s="4">
        <v>0</v>
      </c>
      <c r="BC17" s="4">
        <v>0</v>
      </c>
      <c r="BD17" s="4">
        <v>0</v>
      </c>
      <c r="BE17" s="4">
        <v>0.0104166666666667</v>
      </c>
      <c r="BF17" s="4">
        <v>0.0156657963446475</v>
      </c>
      <c r="BG17" s="4">
        <v>0.00684931506849315</v>
      </c>
      <c r="BH17" s="4">
        <v>0.00671140939597315</v>
      </c>
      <c r="BI17" s="4">
        <v>0</v>
      </c>
      <c r="BJ17" s="4">
        <v>0</v>
      </c>
      <c r="BK17" s="4">
        <v>0.00642398286937901</v>
      </c>
      <c r="BL17" s="4">
        <v>0.00273224043715847</v>
      </c>
      <c r="BM17" s="4">
        <v>0.0018796992481203</v>
      </c>
      <c r="BN17" s="4">
        <v>0.0174216027874564</v>
      </c>
      <c r="BO17" s="4">
        <v>0</v>
      </c>
      <c r="BP17" s="4">
        <v>0</v>
      </c>
      <c r="BQ17" s="4">
        <v>0.00602409638554217</v>
      </c>
      <c r="BR17" s="4">
        <v>0.00444444444444444</v>
      </c>
      <c r="BS17" s="4">
        <v>0.0344827586206897</v>
      </c>
      <c r="BT17" s="4">
        <v>0.00409276944065484</v>
      </c>
      <c r="BU17" s="4">
        <v>0</v>
      </c>
      <c r="BV17" s="4">
        <v>0</v>
      </c>
      <c r="BW17" s="4">
        <v>0</v>
      </c>
      <c r="BX17" s="4">
        <v>0.0097864768683274</v>
      </c>
      <c r="BY17" s="4">
        <v>0.00257731958762887</v>
      </c>
      <c r="BZ17" s="4">
        <v>0</v>
      </c>
      <c r="CA17" s="4">
        <v>0.00815217391304348</v>
      </c>
      <c r="CB17" s="4">
        <v>0.00501672240802676</v>
      </c>
      <c r="CC17" s="4">
        <v>0.00231481481481481</v>
      </c>
      <c r="CD17" s="4">
        <v>0</v>
      </c>
      <c r="CE17" s="4">
        <v>0.00900900900900901</v>
      </c>
      <c r="CF17" s="4">
        <v>0.00452488687782805</v>
      </c>
      <c r="CG17" s="4">
        <v>0</v>
      </c>
      <c r="CH17" s="4">
        <v>0</v>
      </c>
      <c r="CI17" s="4">
        <v>0.0048780487804878</v>
      </c>
      <c r="CJ17" s="4">
        <v>0.0122549019607843</v>
      </c>
    </row>
    <row r="18" spans="1:88">
      <c r="A18" s="3" t="s">
        <v>488</v>
      </c>
      <c r="B18" s="4">
        <v>0.127272727272727</v>
      </c>
      <c r="C18" s="4">
        <v>0.129496402877698</v>
      </c>
      <c r="D18" s="4">
        <v>0.100502512562814</v>
      </c>
      <c r="E18" s="4">
        <v>0.0716845878136201</v>
      </c>
      <c r="F18" s="4">
        <v>0.118980169971671</v>
      </c>
      <c r="G18" s="4">
        <v>0.0945273631840796</v>
      </c>
      <c r="H18" s="4">
        <v>0.0597826086956522</v>
      </c>
      <c r="I18" s="4">
        <v>0.048951048951049</v>
      </c>
      <c r="J18" s="4">
        <v>0.0491071428571429</v>
      </c>
      <c r="K18" s="4">
        <v>0.0585585585585586</v>
      </c>
      <c r="L18" s="4">
        <v>0.110294117647059</v>
      </c>
      <c r="M18" s="4">
        <v>0.0848214285714286</v>
      </c>
      <c r="N18" s="4">
        <v>0.0645161290322581</v>
      </c>
      <c r="O18" s="4">
        <v>0.0952380952380952</v>
      </c>
      <c r="P18" s="4">
        <v>0.0526315789473684</v>
      </c>
      <c r="Q18" s="4">
        <v>0.0135135135135135</v>
      </c>
      <c r="R18" s="4">
        <v>0.0377358490566038</v>
      </c>
      <c r="S18" s="4">
        <v>0.168831168831169</v>
      </c>
      <c r="T18" s="4">
        <v>0.0810810810810811</v>
      </c>
      <c r="U18" s="4">
        <v>0</v>
      </c>
      <c r="V18" s="4">
        <v>0.0408163265306122</v>
      </c>
      <c r="W18" s="4">
        <v>0.0869565217391304</v>
      </c>
      <c r="X18" s="4">
        <v>0.218097447795824</v>
      </c>
      <c r="Y18" s="4">
        <v>0.0392156862745098</v>
      </c>
      <c r="Z18" s="4">
        <v>0.125</v>
      </c>
      <c r="AA18" s="4">
        <v>0.0597014925373134</v>
      </c>
      <c r="AB18" s="4">
        <v>0.142857142857143</v>
      </c>
      <c r="AC18" s="4">
        <v>0.454545454545455</v>
      </c>
      <c r="AD18" s="4">
        <v>0.25</v>
      </c>
      <c r="AE18" s="4">
        <v>0.05379513633014</v>
      </c>
      <c r="AF18" s="4">
        <v>0.0636042402826855</v>
      </c>
      <c r="AG18" s="4">
        <v>0.333333333333333</v>
      </c>
      <c r="AH18" s="4">
        <v>0.355263157894737</v>
      </c>
      <c r="AI18" s="4">
        <v>0.05</v>
      </c>
      <c r="AJ18" s="4">
        <v>0.12</v>
      </c>
      <c r="AK18" s="4">
        <v>0.107784431137725</v>
      </c>
      <c r="AL18" s="4">
        <v>0.158031088082902</v>
      </c>
      <c r="AM18" s="4">
        <v>0.180094786729858</v>
      </c>
      <c r="AN18" s="4">
        <v>0.128775834658188</v>
      </c>
      <c r="AO18" s="4">
        <v>0.00479616306954436</v>
      </c>
      <c r="AP18" s="4">
        <v>0.055045871559633</v>
      </c>
      <c r="AQ18" s="4">
        <v>0.0597826086956522</v>
      </c>
      <c r="AR18" s="4">
        <v>0.0723404255319149</v>
      </c>
      <c r="AS18" s="4">
        <v>0.0375</v>
      </c>
      <c r="AT18" s="4">
        <v>0</v>
      </c>
      <c r="AU18" s="4">
        <v>0.0425531914893617</v>
      </c>
      <c r="AV18" s="4">
        <v>0</v>
      </c>
      <c r="AW18" s="4">
        <v>0.0591016548463357</v>
      </c>
      <c r="AX18" s="4">
        <v>0.0657894736842105</v>
      </c>
      <c r="AY18" s="4">
        <v>0.104562737642586</v>
      </c>
      <c r="AZ18" s="4">
        <v>0.103896103896104</v>
      </c>
      <c r="BA18" s="4">
        <v>0.113207547169811</v>
      </c>
      <c r="BB18" s="4">
        <v>0.0909090909090909</v>
      </c>
      <c r="BC18" s="4">
        <v>0.0866141732283465</v>
      </c>
      <c r="BD18" s="4">
        <v>0.121951219512195</v>
      </c>
      <c r="BE18" s="4">
        <v>0.109375</v>
      </c>
      <c r="BF18" s="4">
        <v>0.154046997389034</v>
      </c>
      <c r="BG18" s="4">
        <v>0.143835616438356</v>
      </c>
      <c r="BH18" s="4">
        <v>0.0536912751677852</v>
      </c>
      <c r="BI18" s="4">
        <v>0.0175438596491228</v>
      </c>
      <c r="BJ18" s="4">
        <v>0.188976377952756</v>
      </c>
      <c r="BK18" s="4">
        <v>0.0899357601713062</v>
      </c>
      <c r="BL18" s="4">
        <v>0.0846994535519126</v>
      </c>
      <c r="BM18" s="4">
        <v>0.056390977443609</v>
      </c>
      <c r="BN18" s="4">
        <v>0.0418118466898955</v>
      </c>
      <c r="BO18" s="4">
        <v>0.134078212290503</v>
      </c>
      <c r="BP18" s="4">
        <v>0.037593984962406</v>
      </c>
      <c r="BQ18" s="4">
        <v>0.0542168674698795</v>
      </c>
      <c r="BR18" s="4">
        <v>0.0888888888888889</v>
      </c>
      <c r="BS18" s="4">
        <v>0.118773946360153</v>
      </c>
      <c r="BT18" s="4">
        <v>0.0832196452933151</v>
      </c>
      <c r="BU18" s="4">
        <v>0.033457249070632</v>
      </c>
      <c r="BV18" s="4">
        <v>0.0373134328358209</v>
      </c>
      <c r="BW18" s="4">
        <v>0.066147859922179</v>
      </c>
      <c r="BX18" s="4">
        <v>0.126334519572954</v>
      </c>
      <c r="BY18" s="4">
        <v>0.118556701030928</v>
      </c>
      <c r="BZ18" s="4">
        <v>0.12565445026178</v>
      </c>
      <c r="CA18" s="4">
        <v>0.22554347826087</v>
      </c>
      <c r="CB18" s="4">
        <v>0.107023411371237</v>
      </c>
      <c r="CC18" s="4">
        <v>0.0972222222222222</v>
      </c>
      <c r="CD18" s="4">
        <v>0.188524590163934</v>
      </c>
      <c r="CE18" s="4">
        <v>0.166666666666667</v>
      </c>
      <c r="CF18" s="4">
        <v>0.0678733031674208</v>
      </c>
      <c r="CG18" s="4">
        <v>0.0396039603960396</v>
      </c>
      <c r="CH18" s="4">
        <v>0.0891089108910891</v>
      </c>
      <c r="CI18" s="4">
        <v>0.0731707317073171</v>
      </c>
      <c r="CJ18" s="4">
        <v>0.235294117647059</v>
      </c>
    </row>
    <row r="19" spans="1:88">
      <c r="A19" s="3" t="s">
        <v>489</v>
      </c>
      <c r="B19" s="4">
        <v>0.0666666666666667</v>
      </c>
      <c r="C19" s="4">
        <v>0.129496402877698</v>
      </c>
      <c r="D19" s="4">
        <v>0.085427135678392</v>
      </c>
      <c r="E19" s="4">
        <v>0.0824372759856631</v>
      </c>
      <c r="F19" s="4">
        <v>0.0708215297450425</v>
      </c>
      <c r="G19" s="4">
        <v>0.0895522388059701</v>
      </c>
      <c r="H19" s="4">
        <v>0.114130434782609</v>
      </c>
      <c r="I19" s="4">
        <v>0.111888111888112</v>
      </c>
      <c r="J19" s="4">
        <v>0.133928571428571</v>
      </c>
      <c r="K19" s="4">
        <v>0.117117117117117</v>
      </c>
      <c r="L19" s="4">
        <v>0.0882352941176471</v>
      </c>
      <c r="M19" s="4">
        <v>0.0714285714285714</v>
      </c>
      <c r="N19" s="4">
        <v>0.155913978494624</v>
      </c>
      <c r="O19" s="4">
        <v>0.285714285714286</v>
      </c>
      <c r="P19" s="4">
        <v>0.157894736842105</v>
      </c>
      <c r="Q19" s="4">
        <v>0.162162162162162</v>
      </c>
      <c r="R19" s="4">
        <v>0.0377358490566038</v>
      </c>
      <c r="S19" s="4">
        <v>0.233766233766234</v>
      </c>
      <c r="T19" s="4">
        <v>0.0405405405405405</v>
      </c>
      <c r="U19" s="4">
        <v>0.274509803921569</v>
      </c>
      <c r="V19" s="4">
        <v>0.0102040816326531</v>
      </c>
      <c r="W19" s="4">
        <v>0.173913043478261</v>
      </c>
      <c r="X19" s="4">
        <v>0.0278422273781903</v>
      </c>
      <c r="Y19" s="4">
        <v>0.117647058823529</v>
      </c>
      <c r="Z19" s="4">
        <v>0.175</v>
      </c>
      <c r="AA19" s="4">
        <v>0.0746268656716418</v>
      </c>
      <c r="AB19" s="4">
        <v>0.142857142857143</v>
      </c>
      <c r="AC19" s="4">
        <v>0.181818181818182</v>
      </c>
      <c r="AD19" s="4">
        <v>0.166666666666667</v>
      </c>
      <c r="AE19" s="4">
        <v>0.0766396462785556</v>
      </c>
      <c r="AF19" s="4">
        <v>0.0591872791519435</v>
      </c>
      <c r="AG19" s="4">
        <v>0.121212121212121</v>
      </c>
      <c r="AH19" s="4">
        <v>0.0131578947368421</v>
      </c>
      <c r="AI19" s="4">
        <v>0.0833333333333333</v>
      </c>
      <c r="AJ19" s="4">
        <v>0.12</v>
      </c>
      <c r="AK19" s="4">
        <v>0.0658682634730539</v>
      </c>
      <c r="AL19" s="4">
        <v>0.0725388601036269</v>
      </c>
      <c r="AM19" s="4">
        <v>0.0805687203791469</v>
      </c>
      <c r="AN19" s="4">
        <v>0.0667726550079491</v>
      </c>
      <c r="AO19" s="4">
        <v>0.0167865707434053</v>
      </c>
      <c r="AP19" s="4">
        <v>0.119266055045872</v>
      </c>
      <c r="AQ19" s="4">
        <v>0.114130434782609</v>
      </c>
      <c r="AR19" s="4">
        <v>0.0553191489361702</v>
      </c>
      <c r="AS19" s="4">
        <v>0.05</v>
      </c>
      <c r="AT19" s="4">
        <v>0.133333333333333</v>
      </c>
      <c r="AU19" s="4">
        <v>0.0425531914893617</v>
      </c>
      <c r="AV19" s="4">
        <v>0.0555555555555556</v>
      </c>
      <c r="AW19" s="4">
        <v>0.0638297872340425</v>
      </c>
      <c r="AX19" s="4">
        <v>0.0855263157894737</v>
      </c>
      <c r="AY19" s="4">
        <v>0.0456273764258555</v>
      </c>
      <c r="AZ19" s="4">
        <v>0.038961038961039</v>
      </c>
      <c r="BA19" s="4">
        <v>0.0480274442538593</v>
      </c>
      <c r="BB19" s="4">
        <v>0.0833333333333333</v>
      </c>
      <c r="BC19" s="4">
        <v>0.062992125984252</v>
      </c>
      <c r="BD19" s="4">
        <v>0.0487804878048781</v>
      </c>
      <c r="BE19" s="4">
        <v>0.0625</v>
      </c>
      <c r="BF19" s="4">
        <v>0.0443864229765013</v>
      </c>
      <c r="BG19" s="4">
        <v>0.0684931506849315</v>
      </c>
      <c r="BH19" s="4">
        <v>0.0268456375838926</v>
      </c>
      <c r="BI19" s="4">
        <v>0.087719298245614</v>
      </c>
      <c r="BJ19" s="4">
        <v>0.062992125984252</v>
      </c>
      <c r="BK19" s="4">
        <v>0.0471092077087794</v>
      </c>
      <c r="BL19" s="4">
        <v>0.046448087431694</v>
      </c>
      <c r="BM19" s="4">
        <v>0.101503759398496</v>
      </c>
      <c r="BN19" s="4">
        <v>0.0557491289198606</v>
      </c>
      <c r="BO19" s="4">
        <v>0.00558659217877095</v>
      </c>
      <c r="BP19" s="4">
        <v>0.0827067669172932</v>
      </c>
      <c r="BQ19" s="4">
        <v>0.102409638554217</v>
      </c>
      <c r="BR19" s="4">
        <v>0.0488888888888889</v>
      </c>
      <c r="BS19" s="4">
        <v>0.0842911877394636</v>
      </c>
      <c r="BT19" s="4">
        <v>0.136425648021828</v>
      </c>
      <c r="BU19" s="4">
        <v>0.0631970260223048</v>
      </c>
      <c r="BV19" s="4">
        <v>0.104477611940299</v>
      </c>
      <c r="BW19" s="4">
        <v>0.132295719844358</v>
      </c>
      <c r="BX19" s="4">
        <v>0.103202846975089</v>
      </c>
      <c r="BY19" s="4">
        <v>0.103092783505155</v>
      </c>
      <c r="BZ19" s="4">
        <v>0.0209424083769634</v>
      </c>
      <c r="CA19" s="4">
        <v>0.0516304347826087</v>
      </c>
      <c r="CB19" s="4">
        <v>0.0434782608695652</v>
      </c>
      <c r="CC19" s="4">
        <v>0.0393518518518519</v>
      </c>
      <c r="CD19" s="4">
        <v>0.0573770491803279</v>
      </c>
      <c r="CE19" s="4">
        <v>0.0675675675675676</v>
      </c>
      <c r="CF19" s="4">
        <v>0.113122171945701</v>
      </c>
      <c r="CG19" s="4">
        <v>0.0544554455445545</v>
      </c>
      <c r="CH19" s="4">
        <v>0.143564356435644</v>
      </c>
      <c r="CI19" s="4">
        <v>0.0536585365853659</v>
      </c>
      <c r="CJ19" s="4">
        <v>0.0955882352941176</v>
      </c>
    </row>
    <row r="20" spans="1:88">
      <c r="A20" s="3" t="s">
        <v>490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0.0476190476190476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0.0102040816326531</v>
      </c>
      <c r="W20" s="4">
        <v>0</v>
      </c>
      <c r="X20" s="4">
        <v>0.00464037122969838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0.00657894736842105</v>
      </c>
      <c r="AY20" s="4">
        <v>0.00190114068441065</v>
      </c>
      <c r="AZ20" s="4">
        <v>0</v>
      </c>
      <c r="BA20" s="4">
        <v>0</v>
      </c>
      <c r="BB20" s="4">
        <v>0</v>
      </c>
      <c r="BC20" s="4">
        <v>0</v>
      </c>
      <c r="BD20" s="4">
        <v>0.00975609756097561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0.00214132762312634</v>
      </c>
      <c r="BL20" s="4">
        <v>0</v>
      </c>
      <c r="BM20" s="4">
        <v>0.0075187969924812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0.00389105058365759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0.00495049504950495</v>
      </c>
      <c r="CI20" s="4">
        <v>0</v>
      </c>
      <c r="CJ20" s="4">
        <v>0</v>
      </c>
    </row>
    <row r="21" spans="1:88">
      <c r="A21" s="3" t="s">
        <v>491</v>
      </c>
      <c r="B21" s="4">
        <v>0.187878787878788</v>
      </c>
      <c r="C21" s="4">
        <v>0.251798561151079</v>
      </c>
      <c r="D21" s="4">
        <v>0.246231155778894</v>
      </c>
      <c r="E21" s="4">
        <v>0.186379928315412</v>
      </c>
      <c r="F21" s="4">
        <v>0.155807365439093</v>
      </c>
      <c r="G21" s="4">
        <v>0.208955223880597</v>
      </c>
      <c r="H21" s="4">
        <v>0.179347826086957</v>
      </c>
      <c r="I21" s="4">
        <v>0.216783216783217</v>
      </c>
      <c r="J21" s="4">
        <v>0.205357142857143</v>
      </c>
      <c r="K21" s="4">
        <v>0.184684684684685</v>
      </c>
      <c r="L21" s="4">
        <v>0.165441176470588</v>
      </c>
      <c r="M21" s="4">
        <v>0.214285714285714</v>
      </c>
      <c r="N21" s="4">
        <v>0.241935483870968</v>
      </c>
      <c r="O21" s="4">
        <v>0.238095238095238</v>
      </c>
      <c r="P21" s="4">
        <v>0.0947368421052632</v>
      </c>
      <c r="Q21" s="4">
        <v>0.0810810810810811</v>
      </c>
      <c r="R21" s="4">
        <v>0.433962264150943</v>
      </c>
      <c r="S21" s="4">
        <v>0.25974025974026</v>
      </c>
      <c r="T21" s="4">
        <v>0.567567567567568</v>
      </c>
      <c r="U21" s="4">
        <v>0.147058823529412</v>
      </c>
      <c r="V21" s="4">
        <v>0.204081632653061</v>
      </c>
      <c r="W21" s="4">
        <v>0.0434782608695652</v>
      </c>
      <c r="X21" s="4">
        <v>0.0928074245939675</v>
      </c>
      <c r="Y21" s="4">
        <v>0.156862745098039</v>
      </c>
      <c r="Z21" s="4">
        <v>0.1</v>
      </c>
      <c r="AA21" s="4">
        <v>0.417910447761194</v>
      </c>
      <c r="AB21" s="4">
        <v>0.0714285714285714</v>
      </c>
      <c r="AC21" s="4">
        <v>0.0909090909090909</v>
      </c>
      <c r="AD21" s="4">
        <v>0.0833333333333333</v>
      </c>
      <c r="AE21" s="4">
        <v>0.297715549005158</v>
      </c>
      <c r="AF21" s="4">
        <v>0.356007067137809</v>
      </c>
      <c r="AG21" s="4">
        <v>0.454545454545455</v>
      </c>
      <c r="AH21" s="4">
        <v>0.184210526315789</v>
      </c>
      <c r="AI21" s="4">
        <v>0.0333333333333333</v>
      </c>
      <c r="AJ21" s="4">
        <v>0.16</v>
      </c>
      <c r="AK21" s="4">
        <v>0.0988023952095808</v>
      </c>
      <c r="AL21" s="4">
        <v>0.0699481865284974</v>
      </c>
      <c r="AM21" s="4">
        <v>0.042654028436019</v>
      </c>
      <c r="AN21" s="4">
        <v>0.186009538950715</v>
      </c>
      <c r="AO21" s="4">
        <v>0.0215827338129496</v>
      </c>
      <c r="AP21" s="4">
        <v>0.00917431192660551</v>
      </c>
      <c r="AQ21" s="4">
        <v>0.146739130434783</v>
      </c>
      <c r="AR21" s="4">
        <v>0.114893617021277</v>
      </c>
      <c r="AS21" s="4">
        <v>0.1</v>
      </c>
      <c r="AT21" s="4">
        <v>0.0222222222222222</v>
      </c>
      <c r="AU21" s="4">
        <v>0.148936170212766</v>
      </c>
      <c r="AV21" s="4">
        <v>0.111111111111111</v>
      </c>
      <c r="AW21" s="4">
        <v>0.300236406619385</v>
      </c>
      <c r="AX21" s="4">
        <v>0.0263157894736842</v>
      </c>
      <c r="AY21" s="4">
        <v>0.0342205323193916</v>
      </c>
      <c r="AZ21" s="4">
        <v>0.0779220779220779</v>
      </c>
      <c r="BA21" s="4">
        <v>0.0600343053173242</v>
      </c>
      <c r="BB21" s="4">
        <v>0.166666666666667</v>
      </c>
      <c r="BC21" s="4">
        <v>0.330708661417323</v>
      </c>
      <c r="BD21" s="4">
        <v>0.15609756097561</v>
      </c>
      <c r="BE21" s="4">
        <v>0.223958333333333</v>
      </c>
      <c r="BF21" s="4">
        <v>0.159268929503916</v>
      </c>
      <c r="BG21" s="4">
        <v>0.171232876712329</v>
      </c>
      <c r="BH21" s="4">
        <v>0.140939597315436</v>
      </c>
      <c r="BI21" s="4">
        <v>0.280701754385965</v>
      </c>
      <c r="BJ21" s="4">
        <v>0.251968503937008</v>
      </c>
      <c r="BK21" s="4">
        <v>0.158458244111349</v>
      </c>
      <c r="BL21" s="4">
        <v>0.467213114754098</v>
      </c>
      <c r="BM21" s="4">
        <v>0.315789473684211</v>
      </c>
      <c r="BN21" s="4">
        <v>0.362369337979094</v>
      </c>
      <c r="BO21" s="4">
        <v>0.480446927374302</v>
      </c>
      <c r="BP21" s="4">
        <v>0.12781954887218</v>
      </c>
      <c r="BQ21" s="4">
        <v>0.481927710843373</v>
      </c>
      <c r="BR21" s="4">
        <v>0.328888888888889</v>
      </c>
      <c r="BS21" s="4">
        <v>0.486590038314176</v>
      </c>
      <c r="BT21" s="4">
        <v>0.540245566166439</v>
      </c>
      <c r="BU21" s="4">
        <v>0.308550185873606</v>
      </c>
      <c r="BV21" s="4">
        <v>0.361940298507463</v>
      </c>
      <c r="BW21" s="4">
        <v>0.466926070038911</v>
      </c>
      <c r="BX21" s="4">
        <v>0.575622775800712</v>
      </c>
      <c r="BY21" s="4">
        <v>0.373711340206186</v>
      </c>
      <c r="BZ21" s="4">
        <v>0.324607329842932</v>
      </c>
      <c r="CA21" s="4">
        <v>0.347826086956522</v>
      </c>
      <c r="CB21" s="4">
        <v>0.433110367892977</v>
      </c>
      <c r="CC21" s="4">
        <v>0.37962962962963</v>
      </c>
      <c r="CD21" s="4">
        <v>0.450819672131148</v>
      </c>
      <c r="CE21" s="4">
        <v>0.545045045045045</v>
      </c>
      <c r="CF21" s="4">
        <v>0.32579185520362</v>
      </c>
      <c r="CG21" s="4">
        <v>0.297029702970297</v>
      </c>
      <c r="CH21" s="4">
        <v>0.544554455445545</v>
      </c>
      <c r="CI21" s="4">
        <v>0.448780487804878</v>
      </c>
      <c r="CJ21" s="4">
        <v>0.492647058823529</v>
      </c>
    </row>
    <row r="22" spans="1:88">
      <c r="A22" s="3" t="s">
        <v>492</v>
      </c>
      <c r="B22" s="4">
        <v>0.0909090909090909</v>
      </c>
      <c r="C22" s="4">
        <v>0.0467625899280576</v>
      </c>
      <c r="D22" s="4">
        <v>0.0452261306532663</v>
      </c>
      <c r="E22" s="4">
        <v>0.0537634408602151</v>
      </c>
      <c r="F22" s="4">
        <v>0.0424929178470255</v>
      </c>
      <c r="G22" s="4">
        <v>0.0845771144278607</v>
      </c>
      <c r="H22" s="4">
        <v>0.0543478260869565</v>
      </c>
      <c r="I22" s="4">
        <v>0.0559440559440559</v>
      </c>
      <c r="J22" s="4">
        <v>0.03125</v>
      </c>
      <c r="K22" s="4">
        <v>0.0315315315315315</v>
      </c>
      <c r="L22" s="4">
        <v>0.0404411764705882</v>
      </c>
      <c r="M22" s="4">
        <v>0.0669642857142857</v>
      </c>
      <c r="N22" s="4">
        <v>0.032258064516129</v>
      </c>
      <c r="O22" s="4">
        <v>0</v>
      </c>
      <c r="P22" s="4">
        <v>0.0105263157894737</v>
      </c>
      <c r="Q22" s="4">
        <v>0.0135135135135135</v>
      </c>
      <c r="R22" s="4">
        <v>0.0188679245283019</v>
      </c>
      <c r="S22" s="4">
        <v>0.051948051948052</v>
      </c>
      <c r="T22" s="4">
        <v>0.027027027027027</v>
      </c>
      <c r="U22" s="4">
        <v>0</v>
      </c>
      <c r="V22" s="4">
        <v>0.0306122448979592</v>
      </c>
      <c r="W22" s="4">
        <v>0</v>
      </c>
      <c r="X22" s="4">
        <v>0</v>
      </c>
      <c r="Y22" s="4">
        <v>0</v>
      </c>
      <c r="Z22" s="4">
        <v>0.05</v>
      </c>
      <c r="AA22" s="4">
        <v>0.0149253731343284</v>
      </c>
      <c r="AB22" s="4">
        <v>0</v>
      </c>
      <c r="AC22" s="4">
        <v>0</v>
      </c>
      <c r="AD22" s="4">
        <v>0</v>
      </c>
      <c r="AE22" s="4">
        <v>0.00221075902726603</v>
      </c>
      <c r="AF22" s="4">
        <v>0.00176678445229682</v>
      </c>
      <c r="AG22" s="4">
        <v>0.0303030303030303</v>
      </c>
      <c r="AH22" s="4">
        <v>0</v>
      </c>
      <c r="AI22" s="4">
        <v>0</v>
      </c>
      <c r="AJ22" s="4">
        <v>0</v>
      </c>
      <c r="AK22" s="4">
        <v>0.0269461077844311</v>
      </c>
      <c r="AL22" s="4">
        <v>0.0233160621761658</v>
      </c>
      <c r="AM22" s="4">
        <v>0.018957345971564</v>
      </c>
      <c r="AN22" s="4">
        <v>0.0349761526232114</v>
      </c>
      <c r="AO22" s="4">
        <v>0.0119904076738609</v>
      </c>
      <c r="AP22" s="4">
        <v>0.055045871559633</v>
      </c>
      <c r="AQ22" s="4">
        <v>0.0271739130434783</v>
      </c>
      <c r="AR22" s="4">
        <v>0.00425531914893617</v>
      </c>
      <c r="AS22" s="4">
        <v>0.05</v>
      </c>
      <c r="AT22" s="4">
        <v>0.133333333333333</v>
      </c>
      <c r="AU22" s="4">
        <v>0.148936170212766</v>
      </c>
      <c r="AV22" s="4">
        <v>0.0555555555555556</v>
      </c>
      <c r="AW22" s="4">
        <v>0.00709219858156028</v>
      </c>
      <c r="AX22" s="4">
        <v>0.0131578947368421</v>
      </c>
      <c r="AY22" s="4">
        <v>0.00950570342205323</v>
      </c>
      <c r="AZ22" s="4">
        <v>0.012987012987013</v>
      </c>
      <c r="BA22" s="4">
        <v>0.0137221269296741</v>
      </c>
      <c r="BB22" s="4">
        <v>0</v>
      </c>
      <c r="BC22" s="4">
        <v>0.031496062992126</v>
      </c>
      <c r="BD22" s="4">
        <v>0.0341463414634146</v>
      </c>
      <c r="BE22" s="4">
        <v>0.015625</v>
      </c>
      <c r="BF22" s="4">
        <v>0.0156657963446475</v>
      </c>
      <c r="BG22" s="4">
        <v>0.00684931506849315</v>
      </c>
      <c r="BH22" s="4">
        <v>0</v>
      </c>
      <c r="BI22" s="4">
        <v>0</v>
      </c>
      <c r="BJ22" s="4">
        <v>0.015748031496063</v>
      </c>
      <c r="BK22" s="4">
        <v>0.012847965738758</v>
      </c>
      <c r="BL22" s="4">
        <v>0.00546448087431694</v>
      </c>
      <c r="BM22" s="4">
        <v>0.0075187969924812</v>
      </c>
      <c r="BN22" s="4">
        <v>0</v>
      </c>
      <c r="BO22" s="4">
        <v>0.0111731843575419</v>
      </c>
      <c r="BP22" s="4">
        <v>0.0075187969924812</v>
      </c>
      <c r="BQ22" s="4">
        <v>0</v>
      </c>
      <c r="BR22" s="4">
        <v>0</v>
      </c>
      <c r="BS22" s="4">
        <v>0.0114942528735632</v>
      </c>
      <c r="BT22" s="4">
        <v>0</v>
      </c>
      <c r="BU22" s="4">
        <v>0</v>
      </c>
      <c r="BV22" s="4">
        <v>0.00373134328358209</v>
      </c>
      <c r="BW22" s="4">
        <v>0.0155642023346304</v>
      </c>
      <c r="BX22" s="4">
        <v>0.00622775800711744</v>
      </c>
      <c r="BY22" s="4">
        <v>0.00515463917525773</v>
      </c>
      <c r="BZ22" s="4">
        <v>0.0104712041884817</v>
      </c>
      <c r="CA22" s="4">
        <v>0.0135869565217391</v>
      </c>
      <c r="CB22" s="4">
        <v>0.00836120401337793</v>
      </c>
      <c r="CC22" s="4">
        <v>0</v>
      </c>
      <c r="CD22" s="4">
        <v>0</v>
      </c>
      <c r="CE22" s="4">
        <v>0</v>
      </c>
      <c r="CF22" s="4">
        <v>0</v>
      </c>
      <c r="CG22" s="4">
        <v>0.0148514851485149</v>
      </c>
      <c r="CH22" s="4">
        <v>0.00495049504950495</v>
      </c>
      <c r="CI22" s="4">
        <v>0</v>
      </c>
      <c r="CJ22" s="4">
        <v>0</v>
      </c>
    </row>
    <row r="23" spans="1:88">
      <c r="A23" s="3" t="s">
        <v>493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0.00735294117647059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0.000736919675755343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0.140718562874251</v>
      </c>
      <c r="AL23" s="4">
        <v>0.0699481865284974</v>
      </c>
      <c r="AM23" s="4">
        <v>0.0900473933649289</v>
      </c>
      <c r="AN23" s="4">
        <v>0.0286168521462639</v>
      </c>
      <c r="AO23" s="4">
        <v>0.00479616306954436</v>
      </c>
      <c r="AP23" s="4">
        <v>0.018348623853211</v>
      </c>
      <c r="AQ23" s="4">
        <v>0.103260869565217</v>
      </c>
      <c r="AR23" s="4">
        <v>0.0680851063829787</v>
      </c>
      <c r="AS23" s="4">
        <v>0.0125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0.00766283524904215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</row>
    <row r="24" spans="1:88">
      <c r="A24" s="3" t="s">
        <v>494</v>
      </c>
      <c r="B24" s="4">
        <v>0.175757575757576</v>
      </c>
      <c r="C24" s="4">
        <v>0.154676258992806</v>
      </c>
      <c r="D24" s="4">
        <v>0.296482412060302</v>
      </c>
      <c r="E24" s="4">
        <v>0.25089605734767</v>
      </c>
      <c r="F24" s="4">
        <v>0.169971671388102</v>
      </c>
      <c r="G24" s="4">
        <v>0.164179104477612</v>
      </c>
      <c r="H24" s="4">
        <v>0.146739130434783</v>
      </c>
      <c r="I24" s="4">
        <v>0.195804195804196</v>
      </c>
      <c r="J24" s="4">
        <v>0.15625</v>
      </c>
      <c r="K24" s="4">
        <v>0.175675675675676</v>
      </c>
      <c r="L24" s="4">
        <v>0.180147058823529</v>
      </c>
      <c r="M24" s="4">
        <v>0.120535714285714</v>
      </c>
      <c r="N24" s="4">
        <v>0.236559139784946</v>
      </c>
      <c r="O24" s="4">
        <v>0.142857142857143</v>
      </c>
      <c r="P24" s="4">
        <v>0.0842105263157895</v>
      </c>
      <c r="Q24" s="4">
        <v>0.0540540540540541</v>
      </c>
      <c r="R24" s="4">
        <v>0.0377358490566038</v>
      </c>
      <c r="S24" s="4">
        <v>0.0909090909090909</v>
      </c>
      <c r="T24" s="4">
        <v>0.0135135135135135</v>
      </c>
      <c r="U24" s="4">
        <v>0.00980392156862745</v>
      </c>
      <c r="V24" s="4">
        <v>0.112244897959184</v>
      </c>
      <c r="W24" s="4">
        <v>0.0652173913043478</v>
      </c>
      <c r="X24" s="4">
        <v>0.0835266821345708</v>
      </c>
      <c r="Y24" s="4">
        <v>0.117647058823529</v>
      </c>
      <c r="Z24" s="4">
        <v>0.05</v>
      </c>
      <c r="AA24" s="4">
        <v>0</v>
      </c>
      <c r="AB24" s="4">
        <v>0.142857142857143</v>
      </c>
      <c r="AC24" s="4">
        <v>0</v>
      </c>
      <c r="AD24" s="4">
        <v>0.166666666666667</v>
      </c>
      <c r="AE24" s="4">
        <v>0.126750184229919</v>
      </c>
      <c r="AF24" s="4">
        <v>0.148409893992933</v>
      </c>
      <c r="AG24" s="4">
        <v>0.454545454545455</v>
      </c>
      <c r="AH24" s="4">
        <v>0.421052631578947</v>
      </c>
      <c r="AI24" s="4">
        <v>0.0333333333333333</v>
      </c>
      <c r="AJ24" s="4">
        <v>0.2</v>
      </c>
      <c r="AK24" s="4">
        <v>0.0838323353293413</v>
      </c>
      <c r="AL24" s="4">
        <v>0.0699481865284974</v>
      </c>
      <c r="AM24" s="4">
        <v>0.0995260663507109</v>
      </c>
      <c r="AN24" s="4">
        <v>0.324324324324324</v>
      </c>
      <c r="AO24" s="4">
        <v>0.0143884892086331</v>
      </c>
      <c r="AP24" s="4">
        <v>0.0458715596330275</v>
      </c>
      <c r="AQ24" s="4">
        <v>0.146739130434783</v>
      </c>
      <c r="AR24" s="4">
        <v>0.297872340425532</v>
      </c>
      <c r="AS24" s="4">
        <v>0.05</v>
      </c>
      <c r="AT24" s="4">
        <v>0.0444444444444444</v>
      </c>
      <c r="AU24" s="4">
        <v>0.0638297872340425</v>
      </c>
      <c r="AV24" s="4">
        <v>0.111111111111111</v>
      </c>
      <c r="AW24" s="4">
        <v>0.749408983451537</v>
      </c>
      <c r="AX24" s="4">
        <v>0.842105263157895</v>
      </c>
      <c r="AY24" s="4">
        <v>1.39543726235741</v>
      </c>
      <c r="AZ24" s="4">
        <v>0.668831168831169</v>
      </c>
      <c r="BA24" s="4">
        <v>1.08919382504288</v>
      </c>
      <c r="BB24" s="4">
        <v>0.712121212121212</v>
      </c>
      <c r="BC24" s="4">
        <v>0.267716535433071</v>
      </c>
      <c r="BD24" s="4">
        <v>0.419512195121951</v>
      </c>
      <c r="BE24" s="4">
        <v>0.447916666666667</v>
      </c>
      <c r="BF24" s="4">
        <v>0.608355091383812</v>
      </c>
      <c r="BG24" s="4">
        <v>0.5</v>
      </c>
      <c r="BH24" s="4">
        <v>0.48993288590604</v>
      </c>
      <c r="BI24" s="4">
        <v>0.491228070175439</v>
      </c>
      <c r="BJ24" s="4">
        <v>0.488188976377953</v>
      </c>
      <c r="BK24" s="4">
        <v>0.389721627408994</v>
      </c>
      <c r="BL24" s="4">
        <v>0.628415300546448</v>
      </c>
      <c r="BM24" s="4">
        <v>0.218045112781955</v>
      </c>
      <c r="BN24" s="4">
        <v>0.275261324041812</v>
      </c>
      <c r="BO24" s="4">
        <v>0.245810055865922</v>
      </c>
      <c r="BP24" s="4">
        <v>0.195488721804511</v>
      </c>
      <c r="BQ24" s="4">
        <v>0.421686746987952</v>
      </c>
      <c r="BR24" s="4">
        <v>0.48</v>
      </c>
      <c r="BS24" s="4">
        <v>0.279693486590038</v>
      </c>
      <c r="BT24" s="4">
        <v>0.163710777626194</v>
      </c>
      <c r="BU24" s="4">
        <v>0.152416356877323</v>
      </c>
      <c r="BV24" s="4">
        <v>0.182835820895522</v>
      </c>
      <c r="BW24" s="4">
        <v>0.214007782101167</v>
      </c>
      <c r="BX24" s="4">
        <v>0.202846975088968</v>
      </c>
      <c r="BY24" s="4">
        <v>0.304123711340206</v>
      </c>
      <c r="BZ24" s="4">
        <v>0.31413612565445</v>
      </c>
      <c r="CA24" s="4">
        <v>0.33695652173913</v>
      </c>
      <c r="CB24" s="4">
        <v>0.326086956521739</v>
      </c>
      <c r="CC24" s="4">
        <v>0.31712962962963</v>
      </c>
      <c r="CD24" s="4">
        <v>0.368852459016393</v>
      </c>
      <c r="CE24" s="4">
        <v>0.315315315315315</v>
      </c>
      <c r="CF24" s="4">
        <v>0.285067873303167</v>
      </c>
      <c r="CG24" s="4">
        <v>0.217821782178218</v>
      </c>
      <c r="CH24" s="4">
        <v>0.252475247524752</v>
      </c>
      <c r="CI24" s="4">
        <v>0.321951219512195</v>
      </c>
      <c r="CJ24" s="4">
        <v>0.294117647058824</v>
      </c>
    </row>
    <row r="25" spans="1:88">
      <c r="A25" s="3" t="s">
        <v>495</v>
      </c>
      <c r="B25" s="4">
        <v>0.0909090909090909</v>
      </c>
      <c r="C25" s="4">
        <v>0.0935251798561151</v>
      </c>
      <c r="D25" s="4">
        <v>0.150753768844221</v>
      </c>
      <c r="E25" s="4">
        <v>0.039426523297491</v>
      </c>
      <c r="F25" s="4">
        <v>0.0538243626062323</v>
      </c>
      <c r="G25" s="4">
        <v>0.174129353233831</v>
      </c>
      <c r="H25" s="4">
        <v>0.233695652173913</v>
      </c>
      <c r="I25" s="4">
        <v>0.195804195804196</v>
      </c>
      <c r="J25" s="4">
        <v>0.0803571428571429</v>
      </c>
      <c r="K25" s="4">
        <v>0.0765765765765766</v>
      </c>
      <c r="L25" s="4">
        <v>0.0330882352941176</v>
      </c>
      <c r="M25" s="4">
        <v>0.102678571428571</v>
      </c>
      <c r="N25" s="4">
        <v>0.10752688172043</v>
      </c>
      <c r="O25" s="4">
        <v>0.761904761904762</v>
      </c>
      <c r="P25" s="4">
        <v>0.157894736842105</v>
      </c>
      <c r="Q25" s="4">
        <v>0.283783783783784</v>
      </c>
      <c r="R25" s="4">
        <v>0.0943396226415094</v>
      </c>
      <c r="S25" s="4">
        <v>0.012987012987013</v>
      </c>
      <c r="T25" s="4">
        <v>0.027027027027027</v>
      </c>
      <c r="U25" s="4">
        <v>0.313725490196078</v>
      </c>
      <c r="V25" s="4">
        <v>0.377551020408163</v>
      </c>
      <c r="W25" s="4">
        <v>0.565217391304348</v>
      </c>
      <c r="X25" s="4">
        <v>0.122969837587007</v>
      </c>
      <c r="Y25" s="4">
        <v>0.313725490196078</v>
      </c>
      <c r="Z25" s="4">
        <v>0.425</v>
      </c>
      <c r="AA25" s="4">
        <v>0.0597014925373134</v>
      </c>
      <c r="AB25" s="4">
        <v>0.357142857142857</v>
      </c>
      <c r="AC25" s="4">
        <v>0.272727272727273</v>
      </c>
      <c r="AD25" s="4">
        <v>0.333333333333333</v>
      </c>
      <c r="AE25" s="4">
        <v>0.225497420781135</v>
      </c>
      <c r="AF25" s="4">
        <v>0.183745583038869</v>
      </c>
      <c r="AG25" s="4">
        <v>0.181818181818182</v>
      </c>
      <c r="AH25" s="4">
        <v>0.421052631578947</v>
      </c>
      <c r="AI25" s="4">
        <v>0.333333333333333</v>
      </c>
      <c r="AJ25" s="4">
        <v>0.24</v>
      </c>
      <c r="AK25" s="4">
        <v>0.0449101796407186</v>
      </c>
      <c r="AL25" s="4">
        <v>0.0854922279792746</v>
      </c>
      <c r="AM25" s="4">
        <v>0.0710900473933649</v>
      </c>
      <c r="AN25" s="4">
        <v>0.0190779014308426</v>
      </c>
      <c r="AO25" s="4">
        <v>0.0839328537170264</v>
      </c>
      <c r="AP25" s="4">
        <v>0.247706422018349</v>
      </c>
      <c r="AQ25" s="4">
        <v>0.125</v>
      </c>
      <c r="AR25" s="4">
        <v>0.0297872340425532</v>
      </c>
      <c r="AS25" s="4">
        <v>0.0125</v>
      </c>
      <c r="AT25" s="4">
        <v>0.133333333333333</v>
      </c>
      <c r="AU25" s="4">
        <v>0.0638297872340425</v>
      </c>
      <c r="AV25" s="4">
        <v>0.0555555555555556</v>
      </c>
      <c r="AW25" s="4">
        <v>0.0378250591016548</v>
      </c>
      <c r="AX25" s="4">
        <v>0.217105263157895</v>
      </c>
      <c r="AY25" s="4">
        <v>0.125475285171103</v>
      </c>
      <c r="AZ25" s="4">
        <v>0.188311688311688</v>
      </c>
      <c r="BA25" s="4">
        <v>0.114922813036021</v>
      </c>
      <c r="BB25" s="4">
        <v>0.0151515151515152</v>
      </c>
      <c r="BC25" s="4">
        <v>0.0866141732283465</v>
      </c>
      <c r="BD25" s="4">
        <v>0.0926829268292683</v>
      </c>
      <c r="BE25" s="4">
        <v>0.135416666666667</v>
      </c>
      <c r="BF25" s="4">
        <v>0.112271540469974</v>
      </c>
      <c r="BG25" s="4">
        <v>0.102739726027397</v>
      </c>
      <c r="BH25" s="4">
        <v>0.0469798657718121</v>
      </c>
      <c r="BI25" s="4">
        <v>0.0964912280701754</v>
      </c>
      <c r="BJ25" s="4">
        <v>0.173228346456693</v>
      </c>
      <c r="BK25" s="4">
        <v>0.109207708779443</v>
      </c>
      <c r="BL25" s="4">
        <v>0.0819672131147541</v>
      </c>
      <c r="BM25" s="4">
        <v>0.093984962406015</v>
      </c>
      <c r="BN25" s="4">
        <v>0.132404181184669</v>
      </c>
      <c r="BO25" s="4">
        <v>0.217877094972067</v>
      </c>
      <c r="BP25" s="4">
        <v>0.225563909774436</v>
      </c>
      <c r="BQ25" s="4">
        <v>0.180722891566265</v>
      </c>
      <c r="BR25" s="4">
        <v>0.124444444444444</v>
      </c>
      <c r="BS25" s="4">
        <v>0.0114942528735632</v>
      </c>
      <c r="BT25" s="4">
        <v>0.203274215552524</v>
      </c>
      <c r="BU25" s="4">
        <v>0.0631970260223048</v>
      </c>
      <c r="BV25" s="4">
        <v>0.257462686567164</v>
      </c>
      <c r="BW25" s="4">
        <v>0.252918287937743</v>
      </c>
      <c r="BX25" s="4">
        <v>0.154804270462633</v>
      </c>
      <c r="BY25" s="4">
        <v>0.239690721649485</v>
      </c>
      <c r="BZ25" s="4">
        <v>0.0575916230366492</v>
      </c>
      <c r="CA25" s="4">
        <v>0.0706521739130435</v>
      </c>
      <c r="CB25" s="4">
        <v>0.0317725752508361</v>
      </c>
      <c r="CC25" s="4">
        <v>0.0578703703703704</v>
      </c>
      <c r="CD25" s="4">
        <v>0.0614754098360656</v>
      </c>
      <c r="CE25" s="4">
        <v>0.108108108108108</v>
      </c>
      <c r="CF25" s="4">
        <v>0.285067873303167</v>
      </c>
      <c r="CG25" s="4">
        <v>0.158415841584158</v>
      </c>
      <c r="CH25" s="4">
        <v>0.405940594059406</v>
      </c>
      <c r="CI25" s="4">
        <v>0.0682926829268293</v>
      </c>
      <c r="CJ25" s="4">
        <v>0.0661764705882353</v>
      </c>
    </row>
    <row r="26" spans="1:88">
      <c r="A26" s="3" t="s">
        <v>496</v>
      </c>
      <c r="B26" s="4">
        <v>0.587878787878788</v>
      </c>
      <c r="C26" s="4">
        <v>0.348920863309353</v>
      </c>
      <c r="D26" s="4">
        <v>0.155778894472362</v>
      </c>
      <c r="E26" s="4">
        <v>0.03584229390681</v>
      </c>
      <c r="F26" s="4">
        <v>0.110481586402266</v>
      </c>
      <c r="G26" s="4">
        <v>0.248756218905473</v>
      </c>
      <c r="H26" s="4">
        <v>0.217391304347826</v>
      </c>
      <c r="I26" s="4">
        <v>0.160839160839161</v>
      </c>
      <c r="J26" s="4">
        <v>0.0848214285714286</v>
      </c>
      <c r="K26" s="4">
        <v>0.0720720720720721</v>
      </c>
      <c r="L26" s="4">
        <v>0.0147058823529412</v>
      </c>
      <c r="M26" s="4">
        <v>0.5</v>
      </c>
      <c r="N26" s="4">
        <v>0.0698924731182796</v>
      </c>
      <c r="O26" s="4">
        <v>1.80952380952381</v>
      </c>
      <c r="P26" s="4">
        <v>0.768421052631579</v>
      </c>
      <c r="Q26" s="4">
        <v>1.44594594594595</v>
      </c>
      <c r="R26" s="4">
        <v>1.26415094339623</v>
      </c>
      <c r="S26" s="4">
        <v>0.467532467532468</v>
      </c>
      <c r="T26" s="4">
        <v>0.689189189189189</v>
      </c>
      <c r="U26" s="4">
        <v>3.31372549019608</v>
      </c>
      <c r="V26" s="4">
        <v>1.07142857142857</v>
      </c>
      <c r="W26" s="4">
        <v>1.21739130434783</v>
      </c>
      <c r="X26" s="4">
        <v>0.132250580046404</v>
      </c>
      <c r="Y26" s="4">
        <v>0.549019607843137</v>
      </c>
      <c r="Z26" s="4">
        <v>0.575</v>
      </c>
      <c r="AA26" s="4">
        <v>0.447761194029851</v>
      </c>
      <c r="AB26" s="4">
        <v>1.5</v>
      </c>
      <c r="AC26" s="4">
        <v>1.90909090909091</v>
      </c>
      <c r="AD26" s="4">
        <v>2.66666666666667</v>
      </c>
      <c r="AE26" s="4">
        <v>0.520265291083272</v>
      </c>
      <c r="AF26" s="4">
        <v>0.378975265017668</v>
      </c>
      <c r="AG26" s="4">
        <v>5.21212121212121</v>
      </c>
      <c r="AH26" s="4">
        <v>2.77631578947368</v>
      </c>
      <c r="AI26" s="4">
        <v>0.933333333333333</v>
      </c>
      <c r="AJ26" s="4">
        <v>1.8</v>
      </c>
      <c r="AK26" s="4">
        <v>0.0508982035928144</v>
      </c>
      <c r="AL26" s="4">
        <v>0.204663212435233</v>
      </c>
      <c r="AM26" s="4">
        <v>0.194312796208531</v>
      </c>
      <c r="AN26" s="4">
        <v>0.12241653418124</v>
      </c>
      <c r="AO26" s="4">
        <v>0.0911270983213429</v>
      </c>
      <c r="AP26" s="4">
        <v>0.26605504587156</v>
      </c>
      <c r="AQ26" s="4">
        <v>0.125</v>
      </c>
      <c r="AR26" s="4">
        <v>0.025531914893617</v>
      </c>
      <c r="AS26" s="4">
        <v>0.075</v>
      </c>
      <c r="AT26" s="4">
        <v>0.422222222222222</v>
      </c>
      <c r="AU26" s="4">
        <v>0.48936170212766</v>
      </c>
      <c r="AV26" s="4">
        <v>0.0555555555555556</v>
      </c>
      <c r="AW26" s="4">
        <v>0.356973995271868</v>
      </c>
      <c r="AX26" s="4">
        <v>0.0526315789473684</v>
      </c>
      <c r="AY26" s="4">
        <v>0.0380228136882129</v>
      </c>
      <c r="AZ26" s="4">
        <v>0.038961038961039</v>
      </c>
      <c r="BA26" s="4">
        <v>0.0377358490566038</v>
      </c>
      <c r="BB26" s="4">
        <v>0.0757575757575758</v>
      </c>
      <c r="BC26" s="4">
        <v>0.047244094488189</v>
      </c>
      <c r="BD26" s="4">
        <v>0.0682926829268293</v>
      </c>
      <c r="BE26" s="4">
        <v>0.140625</v>
      </c>
      <c r="BF26" s="4">
        <v>0.224543080939948</v>
      </c>
      <c r="BG26" s="4">
        <v>0.10958904109589</v>
      </c>
      <c r="BH26" s="4">
        <v>0.134228187919463</v>
      </c>
      <c r="BI26" s="4">
        <v>0.236842105263158</v>
      </c>
      <c r="BJ26" s="4">
        <v>0.094488188976378</v>
      </c>
      <c r="BK26" s="4">
        <v>0.0256959314775161</v>
      </c>
      <c r="BL26" s="4">
        <v>0.221311475409836</v>
      </c>
      <c r="BM26" s="4">
        <v>0.12781954887218</v>
      </c>
      <c r="BN26" s="4">
        <v>0.139372822299652</v>
      </c>
      <c r="BO26" s="4">
        <v>0.0949720670391061</v>
      </c>
      <c r="BP26" s="4">
        <v>0.172932330827068</v>
      </c>
      <c r="BQ26" s="4">
        <v>0.156626506024096</v>
      </c>
      <c r="BR26" s="4">
        <v>0.0622222222222222</v>
      </c>
      <c r="BS26" s="4">
        <v>0.0383141762452107</v>
      </c>
      <c r="BT26" s="4">
        <v>0.106412005457026</v>
      </c>
      <c r="BU26" s="4">
        <v>0.427509293680297</v>
      </c>
      <c r="BV26" s="4">
        <v>0.186567164179104</v>
      </c>
      <c r="BW26" s="4">
        <v>0.217898832684825</v>
      </c>
      <c r="BX26" s="4">
        <v>0.122775800711744</v>
      </c>
      <c r="BY26" s="4">
        <v>0.123711340206186</v>
      </c>
      <c r="BZ26" s="4">
        <v>0.0471204188481675</v>
      </c>
      <c r="CA26" s="4">
        <v>0.0625</v>
      </c>
      <c r="CB26" s="4">
        <v>0.0301003344481605</v>
      </c>
      <c r="CC26" s="4">
        <v>0.0555555555555556</v>
      </c>
      <c r="CD26" s="4">
        <v>0.0532786885245902</v>
      </c>
      <c r="CE26" s="4">
        <v>0.0900900900900901</v>
      </c>
      <c r="CF26" s="4">
        <v>0.149321266968326</v>
      </c>
      <c r="CG26" s="4">
        <v>0.193069306930693</v>
      </c>
      <c r="CH26" s="4">
        <v>0.311881188118812</v>
      </c>
      <c r="CI26" s="4">
        <v>0.268292682926829</v>
      </c>
      <c r="CJ26" s="4">
        <v>0.053921568627451</v>
      </c>
    </row>
    <row r="27" spans="1:88">
      <c r="A27" s="3" t="s">
        <v>497</v>
      </c>
      <c r="B27" s="4">
        <v>0.993939393939394</v>
      </c>
      <c r="C27" s="4">
        <v>1.01798561151079</v>
      </c>
      <c r="D27" s="4">
        <v>1.15577889447236</v>
      </c>
      <c r="E27" s="4">
        <v>1.03225806451613</v>
      </c>
      <c r="F27" s="4">
        <v>1.03399433427762</v>
      </c>
      <c r="G27" s="4">
        <v>1.19402985074627</v>
      </c>
      <c r="H27" s="4">
        <v>1.20108695652174</v>
      </c>
      <c r="I27" s="4">
        <v>1.13286713286713</v>
      </c>
      <c r="J27" s="4">
        <v>0.866071428571429</v>
      </c>
      <c r="K27" s="4">
        <v>1.15765765765766</v>
      </c>
      <c r="L27" s="4">
        <v>0.878676470588235</v>
      </c>
      <c r="M27" s="4">
        <v>0.84375</v>
      </c>
      <c r="N27" s="4">
        <v>1.10752688172043</v>
      </c>
      <c r="O27" s="4">
        <v>0.761904761904762</v>
      </c>
      <c r="P27" s="4">
        <v>0.652631578947368</v>
      </c>
      <c r="Q27" s="4">
        <v>0.459459459459459</v>
      </c>
      <c r="R27" s="4">
        <v>0.830188679245283</v>
      </c>
      <c r="S27" s="4">
        <v>1.22077922077922</v>
      </c>
      <c r="T27" s="4">
        <v>0.716216216216216</v>
      </c>
      <c r="U27" s="4">
        <v>0.254901960784314</v>
      </c>
      <c r="V27" s="4">
        <v>0.86734693877551</v>
      </c>
      <c r="W27" s="4">
        <v>0.5</v>
      </c>
      <c r="X27" s="4">
        <v>0.812064965197216</v>
      </c>
      <c r="Y27" s="4">
        <v>0.686274509803922</v>
      </c>
      <c r="Z27" s="4">
        <v>0.65</v>
      </c>
      <c r="AA27" s="4">
        <v>0.701492537313433</v>
      </c>
      <c r="AB27" s="4">
        <v>0.642857142857143</v>
      </c>
      <c r="AC27" s="4">
        <v>1</v>
      </c>
      <c r="AD27" s="4">
        <v>0.75</v>
      </c>
      <c r="AE27" s="4">
        <v>0.728813559322034</v>
      </c>
      <c r="AF27" s="4">
        <v>0.817137809187279</v>
      </c>
      <c r="AG27" s="4">
        <v>1.36363636363636</v>
      </c>
      <c r="AH27" s="4">
        <v>1.34210526315789</v>
      </c>
      <c r="AI27" s="4">
        <v>0.75</v>
      </c>
      <c r="AJ27" s="4">
        <v>1.2</v>
      </c>
      <c r="AK27" s="4">
        <v>0.973053892215569</v>
      </c>
      <c r="AL27" s="4">
        <v>0.914507772020725</v>
      </c>
      <c r="AM27" s="4">
        <v>0.843601895734597</v>
      </c>
      <c r="AN27" s="4">
        <v>0.879173290937997</v>
      </c>
      <c r="AO27" s="4">
        <v>0.62589928057554</v>
      </c>
      <c r="AP27" s="4">
        <v>0.871559633027523</v>
      </c>
      <c r="AQ27" s="4">
        <v>1.05978260869565</v>
      </c>
      <c r="AR27" s="4">
        <v>0.936170212765957</v>
      </c>
      <c r="AS27" s="4">
        <v>0.7125</v>
      </c>
      <c r="AT27" s="4">
        <v>0.911111111111111</v>
      </c>
      <c r="AU27" s="4">
        <v>0.872340425531915</v>
      </c>
      <c r="AV27" s="4">
        <v>1.11111111111111</v>
      </c>
      <c r="AW27" s="4">
        <v>1.11347517730496</v>
      </c>
      <c r="AX27" s="4">
        <v>0.684210526315789</v>
      </c>
      <c r="AY27" s="4">
        <v>0.908745247148289</v>
      </c>
      <c r="AZ27" s="4">
        <v>0.701298701298701</v>
      </c>
      <c r="BA27" s="4">
        <v>0.754716981132076</v>
      </c>
      <c r="BB27" s="4">
        <v>0.795454545454545</v>
      </c>
      <c r="BC27" s="4">
        <v>0.740157480314961</v>
      </c>
      <c r="BD27" s="4">
        <v>0.941463414634146</v>
      </c>
      <c r="BE27" s="4">
        <v>0.859375</v>
      </c>
      <c r="BF27" s="4">
        <v>0.81201044386423</v>
      </c>
      <c r="BG27" s="4">
        <v>0.89041095890411</v>
      </c>
      <c r="BH27" s="4">
        <v>1.06711409395973</v>
      </c>
      <c r="BI27" s="4">
        <v>1.05263157894737</v>
      </c>
      <c r="BJ27" s="4">
        <v>0.874015748031496</v>
      </c>
      <c r="BK27" s="4">
        <v>0.957173447537473</v>
      </c>
      <c r="BL27" s="4">
        <v>0.866120218579235</v>
      </c>
      <c r="BM27" s="4">
        <v>1.15037593984962</v>
      </c>
      <c r="BN27" s="4">
        <v>0.905923344947735</v>
      </c>
      <c r="BO27" s="4">
        <v>1.27374301675978</v>
      </c>
      <c r="BP27" s="4">
        <v>0.744360902255639</v>
      </c>
      <c r="BQ27" s="4">
        <v>1.01204819277108</v>
      </c>
      <c r="BR27" s="4">
        <v>1.12444444444444</v>
      </c>
      <c r="BS27" s="4">
        <v>1.31800766283525</v>
      </c>
      <c r="BT27" s="4">
        <v>1.24965893587995</v>
      </c>
      <c r="BU27" s="4">
        <v>0.635687732342007</v>
      </c>
      <c r="BV27" s="4">
        <v>0.944029850746269</v>
      </c>
      <c r="BW27" s="4">
        <v>1.06225680933852</v>
      </c>
      <c r="BX27" s="4">
        <v>1.34430604982206</v>
      </c>
      <c r="BY27" s="4">
        <v>1.34536082474227</v>
      </c>
      <c r="BZ27" s="4">
        <v>1.30890052356021</v>
      </c>
      <c r="CA27" s="4">
        <v>1.59782608695652</v>
      </c>
      <c r="CB27" s="4">
        <v>1.81939799331104</v>
      </c>
      <c r="CC27" s="4">
        <v>1.34259259259259</v>
      </c>
      <c r="CD27" s="4">
        <v>1.47131147540984</v>
      </c>
      <c r="CE27" s="4">
        <v>1.52252252252252</v>
      </c>
      <c r="CF27" s="4">
        <v>0.846153846153846</v>
      </c>
      <c r="CG27" s="4">
        <v>0.638613861386139</v>
      </c>
      <c r="CH27" s="4">
        <v>1.18811881188119</v>
      </c>
      <c r="CI27" s="4">
        <v>1.13170731707317</v>
      </c>
      <c r="CJ27" s="4">
        <v>1.69362745098039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Fig.1b</vt:lpstr>
      <vt:lpstr>Fig.1c</vt:lpstr>
      <vt:lpstr>Fig.1d</vt:lpstr>
      <vt:lpstr>Fig.2a</vt:lpstr>
      <vt:lpstr>Fig.2b</vt:lpstr>
      <vt:lpstr>Fig.2c</vt:lpstr>
      <vt:lpstr>Fig.2d</vt:lpstr>
      <vt:lpstr>Fig.3d</vt:lpstr>
      <vt:lpstr>Fig.3e</vt:lpstr>
      <vt:lpstr>Fig.3f</vt:lpstr>
      <vt:lpstr>Fig.3g</vt:lpstr>
      <vt:lpstr>Fig.3h</vt:lpstr>
      <vt:lpstr>Fig.4a</vt:lpstr>
      <vt:lpstr>Fig.4b</vt:lpstr>
      <vt:lpstr>Fig.4c</vt:lpstr>
      <vt:lpstr>Fig.4d</vt:lpstr>
      <vt:lpstr>Fig.4h</vt:lpstr>
      <vt:lpstr>Fig.6a</vt:lpstr>
      <vt:lpstr>Fig.6b</vt:lpstr>
      <vt:lpstr>Fig.6c</vt:lpstr>
      <vt:lpstr>Fig.6d</vt:lpstr>
      <vt:lpstr>Fig. 6e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lenovo</cp:lastModifiedBy>
  <dcterms:created xsi:type="dcterms:W3CDTF">2022-05-12T11:07:00Z</dcterms:created>
  <dcterms:modified xsi:type="dcterms:W3CDTF">2025-06-03T23:34:45Z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86E86026360643778F0B9735109F564D_12</vt:lpwstr>
  </property>
  <property fmtid="{D5CDD505-2E9C-101B-9397-08002B2CF9AE}" pid="3" name="KSOProductBuildVer">
    <vt:lpwstr>2052-12.1.0.21171</vt:lpwstr>
  </property>
</Properties>
</file>